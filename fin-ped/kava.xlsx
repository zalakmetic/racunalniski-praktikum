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zalakmetic/Documents/fmf/1. letnik/1. semester/računalniški praktikum/racunalniski-praktikum/fin-ped/"/>
    </mc:Choice>
  </mc:AlternateContent>
  <xr:revisionPtr revIDLastSave="0" documentId="13_ncr:9_{3A38B25B-120E-FA42-A4C3-76956C84D77D}" xr6:coauthVersionLast="47" xr6:coauthVersionMax="47" xr10:uidLastSave="{00000000-0000-0000-0000-000000000000}"/>
  <bookViews>
    <workbookView xWindow="0" yWindow="660" windowWidth="29400" windowHeight="18460" xr2:uid="{10D294C7-DB6C-3A42-9D55-608FFA2E64FA}"/>
  </bookViews>
  <sheets>
    <sheet name="vrtilna tabela" sheetId="5" r:id="rId1"/>
    <sheet name="kava" sheetId="4" r:id="rId2"/>
  </sheets>
  <definedNames>
    <definedName name="ExternalData_1" localSheetId="1" hidden="1">kava!$A$1:$L$55</definedName>
  </definedNames>
  <calcPr calcId="191029"/>
  <pivotCaches>
    <pivotCache cacheId="1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4" l="1"/>
  <c r="M51" i="4"/>
  <c r="M52" i="4"/>
  <c r="M53" i="4"/>
  <c r="M28" i="4"/>
  <c r="M29" i="4"/>
  <c r="M30" i="4"/>
  <c r="M33" i="4"/>
  <c r="M34" i="4"/>
  <c r="M35" i="4"/>
  <c r="M36" i="4"/>
  <c r="M37" i="4"/>
  <c r="M43" i="4"/>
  <c r="M44" i="4"/>
  <c r="M46" i="4"/>
  <c r="M48" i="4"/>
  <c r="M49" i="4"/>
  <c r="M3" i="4"/>
  <c r="M4" i="4"/>
  <c r="M5" i="4"/>
  <c r="M15" i="4"/>
  <c r="M26" i="4"/>
  <c r="M31" i="4"/>
  <c r="M32" i="4"/>
  <c r="M38" i="4"/>
  <c r="M39" i="4"/>
  <c r="M40" i="4"/>
  <c r="M42" i="4"/>
  <c r="M47" i="4"/>
  <c r="M55" i="4"/>
  <c r="M9" i="4"/>
  <c r="M12" i="4"/>
  <c r="M14" i="4"/>
  <c r="M23" i="4"/>
  <c r="M41" i="4"/>
  <c r="M45" i="4"/>
  <c r="M54" i="4"/>
  <c r="M6" i="4"/>
  <c r="M7" i="4"/>
  <c r="M8" i="4"/>
  <c r="M10" i="4"/>
  <c r="M11" i="4"/>
  <c r="M13" i="4"/>
  <c r="M16" i="4"/>
  <c r="M17" i="4"/>
  <c r="M18" i="4"/>
  <c r="M19" i="4"/>
  <c r="M20" i="4"/>
  <c r="M21" i="4"/>
  <c r="M22" i="4"/>
  <c r="M24" i="4"/>
  <c r="M25" i="4"/>
  <c r="M27" i="4"/>
  <c r="M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149988-318B-B54B-B1B2-234C621DB684}" keepAlive="1" name="Query - kava" description="Connection to the 'kava' query in the workbook." type="5" refreshedVersion="8" background="1" saveData="1">
    <dbPr connection="Provider=Microsoft.Mashup.OleDb.1;Data Source=$Workbook$;Location=kava;Extended Properties=&quot;&quot;" command="SELECT * FROM [kava]"/>
  </connection>
</connections>
</file>

<file path=xl/sharedStrings.xml><?xml version="1.0" encoding="utf-8"?>
<sst xmlns="http://schemas.openxmlformats.org/spreadsheetml/2006/main" count="133" uniqueCount="79">
  <si>
    <t>Država</t>
  </si>
  <si>
    <t>Vrsta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</si>
  <si>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</si>
  <si>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</si>
  <si>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</si>
  <si>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</si>
  <si>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</si>
  <si>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</si>
  <si>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</si>
  <si>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</si>
  <si>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</si>
  <si>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</si>
  <si>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Angola</t>
  </si>
  <si>
    <t>Robusta/Arabica</t>
  </si>
  <si>
    <t>Bolivia (Plurinational State of)</t>
  </si>
  <si>
    <t>Arabica</t>
  </si>
  <si>
    <t>Brazil</t>
  </si>
  <si>
    <t>Arabica/Robusta</t>
  </si>
  <si>
    <t>Burundi</t>
  </si>
  <si>
    <t>Ecuador</t>
  </si>
  <si>
    <t>Indonesia</t>
  </si>
  <si>
    <t>Madagascar</t>
  </si>
  <si>
    <t>Robusta</t>
  </si>
  <si>
    <t>Malawi</t>
  </si>
  <si>
    <t>Papua New Guinea</t>
  </si>
  <si>
    <t>Paraguay</t>
  </si>
  <si>
    <t>Peru</t>
  </si>
  <si>
    <t>Rwanda</t>
  </si>
  <si>
    <t>Timor-Leste</t>
  </si>
  <si>
    <t>Zimbabwe</t>
  </si>
  <si>
    <t>Congo</t>
  </si>
  <si>
    <t>Cuba</t>
  </si>
  <si>
    <t>Dominican Republic</t>
  </si>
  <si>
    <t>Haiti</t>
  </si>
  <si>
    <t>Philippines</t>
  </si>
  <si>
    <t>Tanzania</t>
  </si>
  <si>
    <t>Zambia</t>
  </si>
  <si>
    <t>Cameroon</t>
  </si>
  <si>
    <t>Central African Republic</t>
  </si>
  <si>
    <t>Colombia</t>
  </si>
  <si>
    <t>Costa Rica</t>
  </si>
  <si>
    <t>Côte d'Ivoire</t>
  </si>
  <si>
    <t>Democratic Republic of Congo</t>
  </si>
  <si>
    <t>El Salvador</t>
  </si>
  <si>
    <t>Ethiopia</t>
  </si>
  <si>
    <t>Gabon</t>
  </si>
  <si>
    <t>Ghana</t>
  </si>
  <si>
    <t>Guatemala</t>
  </si>
  <si>
    <t>Guinea</t>
  </si>
  <si>
    <t>Guyana</t>
  </si>
  <si>
    <t>Honduras</t>
  </si>
  <si>
    <t>India</t>
  </si>
  <si>
    <t>Jamaica</t>
  </si>
  <si>
    <t>Kenya</t>
  </si>
  <si>
    <t>Lao People's Democratic Republic</t>
  </si>
  <si>
    <t>Liberia</t>
  </si>
  <si>
    <t>Mexico</t>
  </si>
  <si>
    <t>Nepal</t>
  </si>
  <si>
    <t>Nicaragua</t>
  </si>
  <si>
    <t>Nigeria</t>
  </si>
  <si>
    <t>Panama</t>
  </si>
  <si>
    <t>Sierra Leone</t>
  </si>
  <si>
    <t>Sri Lanka</t>
  </si>
  <si>
    <t>Thailand</t>
  </si>
  <si>
    <t>Togo</t>
  </si>
  <si>
    <t>Trinidad &amp; Tobago</t>
  </si>
  <si>
    <t>Uganda</t>
  </si>
  <si>
    <t>Venezuela</t>
  </si>
  <si>
    <t>Viet Nam</t>
  </si>
  <si>
    <t>Yemen</t>
  </si>
  <si>
    <t>Skupaj</t>
  </si>
  <si>
    <t>Grand Total</t>
  </si>
  <si>
    <t>AVG 2019/20</t>
  </si>
  <si>
    <t>AVG 2018/19</t>
  </si>
  <si>
    <t>AVG 2017/18</t>
  </si>
  <si>
    <t>AVG 2016/17</t>
  </si>
  <si>
    <t>AVG 2015/16</t>
  </si>
  <si>
    <t>Vrste kave</t>
  </si>
  <si>
    <t>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</si>
</sst>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3"/>
      <name val="Lucida Grand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Label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787400</xdr:colOff>
          <xdr:row>10</xdr:row>
          <xdr:rowOff>0</xdr:rowOff>
        </xdr:from>
        <xdr:to>
          <xdr:col>6</xdr:col>
          <xdr:colOff>215900</xdr:colOff>
          <xdr:row>11</xdr:row>
          <xdr:rowOff>63500</xdr:rowOff>
        </xdr:to>
        <xdr:sp macro="" textlink="">
          <xdr:nvSpPr>
            <xdr:cNvPr id="5121" name="Label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6704E9C7-B075-B41D-2858-FD11198A73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1300" b="0" i="0" u="none" strike="noStrike" baseline="0">
                  <a:solidFill>
                    <a:srgbClr val="000000"/>
                  </a:solidFill>
                  <a:latin typeface="Lucida Grande" pitchFamily="2" charset="0"/>
                  <a:cs typeface="Lucida Grande" pitchFamily="2" charset="0"/>
                </a:rPr>
                <a:t>Slika 1: Predogled pričakovane rešitve vrtilne tabele.</a:t>
              </a:r>
            </a:p>
          </xdr:txBody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la Kmetič" refreshedDate="46050.459176620374" createdVersion="8" refreshedVersion="8" minRefreshableVersion="3" recordCount="54" xr:uid="{0EC51961-07A1-DB4D-A987-C7D9C15A8C74}">
  <cacheSource type="worksheet">
    <worksheetSource ref="A1:M55" sheet="kava"/>
  </cacheSource>
  <cacheFields count="13">
    <cacheField name="Država" numFmtId="0">
      <sharedItems/>
    </cacheField>
    <cacheField name="Vrsta" numFmtId="0">
      <sharedItems count="4">
        <s v="Robusta/Arabica"/>
        <s v="Arabica"/>
        <s v="Arabica/Robusta"/>
        <s v="Robusta"/>
      </sharedItems>
    </cacheField>
    <cacheField name="2010/11" numFmtId="0">
      <sharedItems containsSemiMixedTypes="0" containsString="0" containsNumber="1" containsInteger="1" minValue="120000" maxValue="3325680000"/>
    </cacheField>
    <cacheField name="2011/12" numFmtId="0">
      <sharedItems containsSemiMixedTypes="0" containsString="0" containsNumber="1" containsInteger="1" minValue="60000" maxValue="2915520000"/>
    </cacheField>
    <cacheField name="2012/13" numFmtId="0">
      <sharedItems containsSemiMixedTypes="0" containsString="0" containsNumber="1" containsInteger="1" minValue="60000" maxValue="3325080000"/>
    </cacheField>
    <cacheField name="2013/14" numFmtId="0">
      <sharedItems containsSemiMixedTypes="0" containsString="0" containsNumber="1" containsInteger="1" minValue="0" maxValue="3281340000"/>
    </cacheField>
    <cacheField name="2014/15" numFmtId="0">
      <sharedItems containsSemiMixedTypes="0" containsString="0" containsNumber="1" containsInteger="1" minValue="60000" maxValue="3198300000"/>
    </cacheField>
    <cacheField name="2015/16" numFmtId="0">
      <sharedItems containsSemiMixedTypes="0" containsString="0" containsNumber="1" containsInteger="1" minValue="60000" maxValue="3172260000"/>
    </cacheField>
    <cacheField name="2016/17" numFmtId="0">
      <sharedItems containsSemiMixedTypes="0" containsString="0" containsNumber="1" containsInteger="1" minValue="0" maxValue="3407280000"/>
    </cacheField>
    <cacheField name="2017/18" numFmtId="0">
      <sharedItems containsSemiMixedTypes="0" containsString="0" containsNumber="1" containsInteger="1" minValue="0" maxValue="3164400000"/>
    </cacheField>
    <cacheField name="2018/19" numFmtId="0">
      <sharedItems containsSemiMixedTypes="0" containsString="0" containsNumber="1" containsInteger="1" minValue="60000" maxValue="3907860000"/>
    </cacheField>
    <cacheField name="2019/20" numFmtId="0">
      <sharedItems containsSemiMixedTypes="0" containsString="0" containsNumber="1" containsInteger="1" minValue="0" maxValue="3492660000"/>
    </cacheField>
    <cacheField name="Skupaj" numFmtId="0">
      <sharedItems containsSemiMixedTypes="0" containsString="0" containsNumber="1" containsInteger="1" minValue="420000" maxValue="331903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s v="Angola"/>
    <x v="0"/>
    <n v="2100000"/>
    <n v="1740000"/>
    <n v="1980000"/>
    <n v="2100000"/>
    <n v="2340000"/>
    <n v="2460000"/>
    <n v="2700000"/>
    <n v="2100000"/>
    <n v="2520000"/>
    <n v="3120000"/>
    <n v="23160000"/>
  </r>
  <r>
    <s v="Bolivia (Plurinational State of)"/>
    <x v="1"/>
    <n v="7020000"/>
    <n v="7920000"/>
    <n v="6300000"/>
    <n v="7200000"/>
    <n v="6000000"/>
    <n v="5040000"/>
    <n v="4680000"/>
    <n v="5040000"/>
    <n v="4980000"/>
    <n v="4860000"/>
    <n v="59040000"/>
  </r>
  <r>
    <s v="Brazil"/>
    <x v="2"/>
    <n v="3325680000"/>
    <n v="2915520000"/>
    <n v="3325080000"/>
    <n v="3281340000"/>
    <n v="3198300000"/>
    <n v="3172260000"/>
    <n v="3407280000"/>
    <n v="3164400000"/>
    <n v="3907860000"/>
    <n v="3492660000"/>
    <n v="33190380000"/>
  </r>
  <r>
    <s v="Burundi"/>
    <x v="2"/>
    <n v="21180000"/>
    <n v="12240000"/>
    <n v="24360000"/>
    <n v="9780000"/>
    <n v="14880000"/>
    <n v="16140000"/>
    <n v="11760000"/>
    <n v="12120000"/>
    <n v="12240000"/>
    <n v="16320000"/>
    <n v="151020000"/>
  </r>
  <r>
    <s v="Cameroon"/>
    <x v="0"/>
    <n v="31620000"/>
    <n v="40140000"/>
    <n v="22260000"/>
    <n v="24240000"/>
    <n v="28980000"/>
    <n v="23460000"/>
    <n v="17520000"/>
    <n v="22200000"/>
    <n v="18600000"/>
    <n v="16080000"/>
    <n v="245100000"/>
  </r>
  <r>
    <s v="Central African Republic"/>
    <x v="3"/>
    <n v="4680000"/>
    <n v="5460000"/>
    <n v="1380000"/>
    <n v="5400000"/>
    <n v="3780000"/>
    <n v="6000000"/>
    <n v="2220000"/>
    <n v="3600000"/>
    <n v="2220000"/>
    <n v="3300000"/>
    <n v="38040000"/>
  </r>
  <r>
    <s v="Colombia"/>
    <x v="1"/>
    <n v="511380000"/>
    <n v="459180000"/>
    <n v="595620000"/>
    <n v="727440000"/>
    <n v="799980000"/>
    <n v="840540000"/>
    <n v="878040000"/>
    <n v="829440000"/>
    <n v="831960000"/>
    <n v="846000000"/>
    <n v="7319580000"/>
  </r>
  <r>
    <s v="Congo"/>
    <x v="3"/>
    <n v="180000"/>
    <n v="180000"/>
    <n v="180000"/>
    <n v="180000"/>
    <n v="180000"/>
    <n v="180000"/>
    <n v="180000"/>
    <n v="180000"/>
    <n v="180000"/>
    <n v="180000"/>
    <n v="1800000"/>
  </r>
  <r>
    <s v="Costa Rica"/>
    <x v="1"/>
    <n v="96840000"/>
    <n v="109860000"/>
    <n v="109380000"/>
    <n v="93120000"/>
    <n v="88500000"/>
    <n v="86400000"/>
    <n v="82320000"/>
    <n v="93660000"/>
    <n v="85620000"/>
    <n v="88320000"/>
    <n v="934020000"/>
  </r>
  <r>
    <s v="Côte d'Ivoire"/>
    <x v="3"/>
    <n v="50220000"/>
    <n v="132960000"/>
    <n v="119640000"/>
    <n v="155880000"/>
    <n v="103680000"/>
    <n v="77340000"/>
    <n v="67020000"/>
    <n v="97440000"/>
    <n v="130500000"/>
    <n v="115740000"/>
    <n v="1050420000"/>
  </r>
  <r>
    <s v="Cuba"/>
    <x v="1"/>
    <n v="6480000"/>
    <n v="6000000"/>
    <n v="5280000"/>
    <n v="6420000"/>
    <n v="6060000"/>
    <n v="6000000"/>
    <n v="6180000"/>
    <n v="6780000"/>
    <n v="7680000"/>
    <n v="7800000"/>
    <n v="64680000"/>
  </r>
  <r>
    <s v="Democratic Republic of Congo"/>
    <x v="0"/>
    <n v="18300000"/>
    <n v="21420000"/>
    <n v="20040000"/>
    <n v="20820000"/>
    <n v="20100000"/>
    <n v="22260000"/>
    <n v="16740000"/>
    <n v="22920000"/>
    <n v="23820000"/>
    <n v="23460000"/>
    <n v="209880000"/>
  </r>
  <r>
    <s v="Dominican Republic"/>
    <x v="2"/>
    <n v="22680000"/>
    <n v="29460000"/>
    <n v="29280000"/>
    <n v="25500000"/>
    <n v="23820000"/>
    <n v="24000000"/>
    <n v="24720000"/>
    <n v="24720000"/>
    <n v="25860000"/>
    <n v="24120000"/>
    <n v="254160000"/>
  </r>
  <r>
    <s v="Ecuador"/>
    <x v="2"/>
    <n v="51240000"/>
    <n v="49500000"/>
    <n v="49680000"/>
    <n v="39960000"/>
    <n v="38640000"/>
    <n v="38640000"/>
    <n v="38700000"/>
    <n v="37440000"/>
    <n v="29760000"/>
    <n v="33540000"/>
    <n v="407100000"/>
  </r>
  <r>
    <s v="El Salvador"/>
    <x v="1"/>
    <n v="112380000"/>
    <n v="69840000"/>
    <n v="74400000"/>
    <n v="30900000"/>
    <n v="39900000"/>
    <n v="33900000"/>
    <n v="36600000"/>
    <n v="45600000"/>
    <n v="45660000"/>
    <n v="39660000"/>
    <n v="528840000"/>
  </r>
  <r>
    <s v="Ethiopia"/>
    <x v="1"/>
    <n v="333600000"/>
    <n v="339000000"/>
    <n v="367920000"/>
    <n v="374520000"/>
    <n v="382980000"/>
    <n v="390900000"/>
    <n v="428580000"/>
    <n v="440820000"/>
    <n v="450660000"/>
    <n v="440580000"/>
    <n v="3949560000"/>
  </r>
  <r>
    <s v="Gabon"/>
    <x v="3"/>
    <n v="120000"/>
    <n v="60000"/>
    <n v="60000"/>
    <n v="0"/>
    <n v="60000"/>
    <n v="60000"/>
    <n v="0"/>
    <n v="0"/>
    <n v="60000"/>
    <n v="0"/>
    <n v="420000"/>
  </r>
  <r>
    <s v="Ghana"/>
    <x v="3"/>
    <n v="4140000"/>
    <n v="1800000"/>
    <n v="1260000"/>
    <n v="1500000"/>
    <n v="2100000"/>
    <n v="2160000"/>
    <n v="1560000"/>
    <n v="780000"/>
    <n v="900000"/>
    <n v="840000"/>
    <n v="17040000"/>
  </r>
  <r>
    <s v="Guatemala"/>
    <x v="2"/>
    <n v="237000000"/>
    <n v="231000000"/>
    <n v="225780000"/>
    <n v="191340000"/>
    <n v="198600000"/>
    <n v="204600000"/>
    <n v="221040000"/>
    <n v="224040000"/>
    <n v="240420000"/>
    <n v="216360000"/>
    <n v="2190180000"/>
  </r>
  <r>
    <s v="Guinea"/>
    <x v="3"/>
    <n v="23160000"/>
    <n v="23160000"/>
    <n v="14040000"/>
    <n v="6060000"/>
    <n v="9900000"/>
    <n v="17160000"/>
    <n v="16200000"/>
    <n v="13740000"/>
    <n v="9180000"/>
    <n v="10680000"/>
    <n v="143280000"/>
  </r>
  <r>
    <s v="Guyana"/>
    <x v="3"/>
    <n v="540000"/>
    <n v="600000"/>
    <n v="600000"/>
    <n v="780000"/>
    <n v="540000"/>
    <n v="660000"/>
    <n v="600000"/>
    <n v="600000"/>
    <n v="600000"/>
    <n v="600000"/>
    <n v="6120000"/>
  </r>
  <r>
    <s v="Haiti"/>
    <x v="1"/>
    <n v="21000000"/>
    <n v="20940000"/>
    <n v="21000000"/>
    <n v="20700000"/>
    <n v="20580000"/>
    <n v="20460000"/>
    <n v="20520000"/>
    <n v="20520000"/>
    <n v="20820000"/>
    <n v="20820000"/>
    <n v="207360000"/>
  </r>
  <r>
    <s v="Honduras"/>
    <x v="1"/>
    <n v="259860000"/>
    <n v="352920000"/>
    <n v="281160000"/>
    <n v="274980000"/>
    <n v="316080000"/>
    <n v="347160000"/>
    <n v="447420000"/>
    <n v="453600000"/>
    <n v="429180000"/>
    <n v="355860000"/>
    <n v="3518220000"/>
  </r>
  <r>
    <s v="India"/>
    <x v="0"/>
    <n v="336000000"/>
    <n v="320040000"/>
    <n v="324180000"/>
    <n v="304500000"/>
    <n v="327000000"/>
    <n v="349800000"/>
    <n v="369660000"/>
    <n v="348780000"/>
    <n v="319500000"/>
    <n v="299280000"/>
    <n v="3298740000"/>
  </r>
  <r>
    <s v="Indonesia"/>
    <x v="0"/>
    <n v="547740000"/>
    <n v="413340000"/>
    <n v="784200000"/>
    <n v="774060000"/>
    <n v="656760000"/>
    <n v="755100000"/>
    <n v="692460000"/>
    <n v="651120000"/>
    <n v="577080000"/>
    <n v="685980000"/>
    <n v="6537840000"/>
  </r>
  <r>
    <s v="Jamaica"/>
    <x v="1"/>
    <n v="1260000"/>
    <n v="1440000"/>
    <n v="1440000"/>
    <n v="1200000"/>
    <n v="1260000"/>
    <n v="1200000"/>
    <n v="1080000"/>
    <n v="1140000"/>
    <n v="1080000"/>
    <n v="1380000"/>
    <n v="12480000"/>
  </r>
  <r>
    <s v="Kenya"/>
    <x v="1"/>
    <n v="38460000"/>
    <n v="45420000"/>
    <n v="52500000"/>
    <n v="50580000"/>
    <n v="46200000"/>
    <n v="47940000"/>
    <n v="47580000"/>
    <n v="47400000"/>
    <n v="55800000"/>
    <n v="50640000"/>
    <n v="482520000"/>
  </r>
  <r>
    <s v="Lao People's Democratic Republic"/>
    <x v="3"/>
    <n v="32640000"/>
    <n v="30840000"/>
    <n v="32460000"/>
    <n v="32640000"/>
    <n v="33120000"/>
    <n v="32100000"/>
    <n v="30600000"/>
    <n v="31980000"/>
    <n v="38820000"/>
    <n v="37320000"/>
    <n v="332520000"/>
  </r>
  <r>
    <s v="Liberia"/>
    <x v="3"/>
    <n v="600000"/>
    <n v="600000"/>
    <n v="600000"/>
    <n v="360000"/>
    <n v="420000"/>
    <n v="600000"/>
    <n v="720000"/>
    <n v="960000"/>
    <n v="360000"/>
    <n v="360000"/>
    <n v="5580000"/>
  </r>
  <r>
    <s v="Madagascar"/>
    <x v="3"/>
    <n v="31800000"/>
    <n v="35100000"/>
    <n v="30000000"/>
    <n v="35040000"/>
    <n v="30060000"/>
    <n v="24840000"/>
    <n v="27180000"/>
    <n v="24240000"/>
    <n v="22740000"/>
    <n v="22980000"/>
    <n v="283980000"/>
  </r>
  <r>
    <s v="Malawi"/>
    <x v="1"/>
    <n v="1020000"/>
    <n v="1560000"/>
    <n v="1380000"/>
    <n v="1680000"/>
    <n v="1500000"/>
    <n v="1260000"/>
    <n v="1200000"/>
    <n v="840000"/>
    <n v="780000"/>
    <n v="960000"/>
    <n v="12180000"/>
  </r>
  <r>
    <s v="Mexico"/>
    <x v="2"/>
    <n v="240060000"/>
    <n v="273660000"/>
    <n v="259620000"/>
    <n v="234960000"/>
    <n v="218160000"/>
    <n v="166320000"/>
    <n v="218100000"/>
    <n v="269100000"/>
    <n v="261060000"/>
    <n v="239100000"/>
    <n v="2380140000"/>
  </r>
  <r>
    <s v="Nepal"/>
    <x v="1"/>
    <n v="180000"/>
    <n v="120000"/>
    <n v="60000"/>
    <n v="60000"/>
    <n v="120000"/>
    <n v="120000"/>
    <n v="60000"/>
    <n v="120000"/>
    <n v="60000"/>
    <n v="60000"/>
    <n v="960000"/>
  </r>
  <r>
    <s v="Nicaragua"/>
    <x v="1"/>
    <n v="98280000"/>
    <n v="131580000"/>
    <n v="112380000"/>
    <n v="123600000"/>
    <n v="113880000"/>
    <n v="127800000"/>
    <n v="153300000"/>
    <n v="158520000"/>
    <n v="172740000"/>
    <n v="172920000"/>
    <n v="1365000000"/>
  </r>
  <r>
    <s v="Nigeria"/>
    <x v="3"/>
    <n v="2520000"/>
    <n v="2820000"/>
    <n v="2460000"/>
    <n v="2460000"/>
    <n v="2580000"/>
    <n v="2460000"/>
    <n v="2580000"/>
    <n v="2520000"/>
    <n v="2520000"/>
    <n v="2520000"/>
    <n v="25440000"/>
  </r>
  <r>
    <s v="Panama"/>
    <x v="1"/>
    <n v="6840000"/>
    <n v="6360000"/>
    <n v="6960000"/>
    <n v="6780000"/>
    <n v="6360000"/>
    <n v="7620000"/>
    <n v="7200000"/>
    <n v="6300000"/>
    <n v="7680000"/>
    <n v="6840000"/>
    <n v="68940000"/>
  </r>
  <r>
    <s v="Papua New Guinea"/>
    <x v="2"/>
    <n v="52020000"/>
    <n v="84840000"/>
    <n v="42960000"/>
    <n v="50100000"/>
    <n v="47880000"/>
    <n v="42720000"/>
    <n v="70260000"/>
    <n v="44040000"/>
    <n v="55800000"/>
    <n v="45120000"/>
    <n v="535740000"/>
  </r>
  <r>
    <s v="Paraguay"/>
    <x v="1"/>
    <n v="1200000"/>
    <n v="1200000"/>
    <n v="1200000"/>
    <n v="1200000"/>
    <n v="1200000"/>
    <n v="1200000"/>
    <n v="1200000"/>
    <n v="1200000"/>
    <n v="1200000"/>
    <n v="1200000"/>
    <n v="12000000"/>
  </r>
  <r>
    <s v="Peru"/>
    <x v="1"/>
    <n v="244140000"/>
    <n v="322380000"/>
    <n v="267000000"/>
    <n v="246360000"/>
    <n v="172980000"/>
    <n v="198240000"/>
    <n v="253380000"/>
    <n v="256740000"/>
    <n v="255780000"/>
    <n v="230160000"/>
    <n v="2447160000"/>
  </r>
  <r>
    <s v="Philippines"/>
    <x v="0"/>
    <n v="11340000"/>
    <n v="10800000"/>
    <n v="10620000"/>
    <n v="11160000"/>
    <n v="11580000"/>
    <n v="12480000"/>
    <n v="12900000"/>
    <n v="12180000"/>
    <n v="12360000"/>
    <n v="18420000"/>
    <n v="123840000"/>
  </r>
  <r>
    <s v="Rwanda"/>
    <x v="1"/>
    <n v="19380000"/>
    <n v="15060000"/>
    <n v="15540000"/>
    <n v="15480000"/>
    <n v="14280000"/>
    <n v="17580000"/>
    <n v="13860000"/>
    <n v="15840000"/>
    <n v="22800000"/>
    <n v="20880000"/>
    <n v="170700000"/>
  </r>
  <r>
    <s v="Sierra Leone"/>
    <x v="3"/>
    <n v="1980000"/>
    <n v="4680000"/>
    <n v="3660000"/>
    <n v="1920000"/>
    <n v="2760000"/>
    <n v="2760000"/>
    <n v="2280000"/>
    <n v="2280000"/>
    <n v="2700000"/>
    <n v="2400000"/>
    <n v="27420000"/>
  </r>
  <r>
    <s v="Sri Lanka"/>
    <x v="0"/>
    <n v="2220000"/>
    <n v="2160000"/>
    <n v="2100000"/>
    <n v="2220000"/>
    <n v="2160000"/>
    <n v="2160000"/>
    <n v="2220000"/>
    <n v="2220000"/>
    <n v="2160000"/>
    <n v="2160000"/>
    <n v="21780000"/>
  </r>
  <r>
    <s v="Tanzania"/>
    <x v="2"/>
    <n v="50760000"/>
    <n v="38460000"/>
    <n v="69060000"/>
    <n v="48660000"/>
    <n v="45180000"/>
    <n v="55800000"/>
    <n v="50760000"/>
    <n v="46980000"/>
    <n v="70500000"/>
    <n v="55560000"/>
    <n v="531720000"/>
  </r>
  <r>
    <s v="Thailand"/>
    <x v="0"/>
    <n v="49680000"/>
    <n v="49860000"/>
    <n v="36480000"/>
    <n v="38280000"/>
    <n v="50700000"/>
    <n v="45720000"/>
    <n v="32280000"/>
    <n v="38280000"/>
    <n v="28920000"/>
    <n v="31020000"/>
    <n v="401220000"/>
  </r>
  <r>
    <s v="Timor-Leste"/>
    <x v="1"/>
    <n v="3600000"/>
    <n v="2820000"/>
    <n v="3660000"/>
    <n v="4800000"/>
    <n v="6660000"/>
    <n v="3540000"/>
    <n v="4920000"/>
    <n v="3900000"/>
    <n v="8340000"/>
    <n v="6180000"/>
    <n v="48420000"/>
  </r>
  <r>
    <s v="Togo"/>
    <x v="3"/>
    <n v="9600000"/>
    <n v="9600000"/>
    <n v="5040000"/>
    <n v="10320000"/>
    <n v="8580000"/>
    <n v="4860000"/>
    <n v="1380000"/>
    <n v="6900000"/>
    <n v="3240000"/>
    <n v="2460000"/>
    <n v="61980000"/>
  </r>
  <r>
    <s v="Trinidad &amp; Tobago"/>
    <x v="3"/>
    <n v="600000"/>
    <n v="660000"/>
    <n v="720000"/>
    <n v="720000"/>
    <n v="720000"/>
    <n v="720000"/>
    <n v="720000"/>
    <n v="720000"/>
    <n v="780000"/>
    <n v="720000"/>
    <n v="7080000"/>
  </r>
  <r>
    <s v="Uganda"/>
    <x v="0"/>
    <n v="196020000"/>
    <n v="186900000"/>
    <n v="234840000"/>
    <n v="217980000"/>
    <n v="224640000"/>
    <n v="219000000"/>
    <n v="297720000"/>
    <n v="275820000"/>
    <n v="282240000"/>
    <n v="330540000"/>
    <n v="2465700000"/>
  </r>
  <r>
    <s v="Venezuela"/>
    <x v="1"/>
    <n v="72120000"/>
    <n v="54120000"/>
    <n v="57120000"/>
    <n v="48240000"/>
    <n v="39000000"/>
    <n v="30000000"/>
    <n v="31500000"/>
    <n v="34320000"/>
    <n v="34680000"/>
    <n v="39000000"/>
    <n v="440100000"/>
  </r>
  <r>
    <s v="Viet Nam"/>
    <x v="0"/>
    <n v="1200000000"/>
    <n v="1590000000"/>
    <n v="1404120000"/>
    <n v="1656600000"/>
    <n v="1634460000"/>
    <n v="1865400000"/>
    <n v="1669140000"/>
    <n v="2005920000"/>
    <n v="1816980000"/>
    <n v="1829220000"/>
    <n v="16671840000"/>
  </r>
  <r>
    <s v="Yemen"/>
    <x v="1"/>
    <n v="9660000"/>
    <n v="11100000"/>
    <n v="11280000"/>
    <n v="11220000"/>
    <n v="10680000"/>
    <n v="9360000"/>
    <n v="8580000"/>
    <n v="7920000"/>
    <n v="5160000"/>
    <n v="5460000"/>
    <n v="90420000"/>
  </r>
  <r>
    <s v="Zambia"/>
    <x v="1"/>
    <n v="780000"/>
    <n v="660000"/>
    <n v="300000"/>
    <n v="660000"/>
    <n v="180000"/>
    <n v="240000"/>
    <n v="780000"/>
    <n v="1140000"/>
    <n v="2040000"/>
    <n v="900000"/>
    <n v="7680000"/>
  </r>
  <r>
    <s v="Zimbabwe"/>
    <x v="1"/>
    <n v="600000"/>
    <n v="540000"/>
    <n v="420000"/>
    <n v="540000"/>
    <n v="900000"/>
    <n v="840000"/>
    <n v="900000"/>
    <n v="420000"/>
    <n v="600000"/>
    <n v="540000"/>
    <n v="63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CA422-1E2E-7347-A36F-C4EC3608B9AC}" name="PivotTable2" cacheId="16" dataOnRows="1" applyNumberFormats="0" applyBorderFormats="0" applyFontFormats="0" applyPatternFormats="0" applyAlignmentFormats="0" applyWidthHeightFormats="1" dataCaption="Leto" updatedVersion="8" minRefreshableVersion="3" useAutoFormatting="1" itemPrintTitles="1" createdVersion="8" indent="0" outline="1" outlineData="1" multipleFieldFilters="0" colHeaderCaption="Vrste kave">
  <location ref="A3:F9" firstHeaderRow="1" firstDataRow="2" firstDataCol="1"/>
  <pivotFields count="13">
    <pivotField showAll="0"/>
    <pivotField axis="axisCol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 avgSubtotal="1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5">
    <dataField name="AVG 2019/20" fld="11" subtotal="average" baseField="0" baseItem="0"/>
    <dataField name="AVG 2018/19" fld="10" subtotal="average" baseField="0" baseItem="0"/>
    <dataField name="AVG 2017/18" fld="9" subtotal="average" baseField="0" baseItem="0"/>
    <dataField name="AVG 2016/17" fld="8" subtotal="average" baseField="0" baseItem="0"/>
    <dataField name="AVG 2015/16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Summary="Slika 1: Predogled pričakovane rešitve vrtilne tabele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AC1141-7574-8047-B686-AC7FA485790C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Država" tableColumnId="1"/>
      <queryTableField id="2" name="Vrsta" tableColumnId="2"/>
      <queryTableField id="3" name="2010/11" tableColumnId="3"/>
      <queryTableField id="4" name="2011/12" tableColumnId="4"/>
      <queryTableField id="5" name="2012/13" tableColumnId="5"/>
      <queryTableField id="6" name="2013/14" tableColumnId="6"/>
      <queryTableField id="7" name="2014/15" tableColumnId="7"/>
      <queryTableField id="8" name="2015/16" tableColumnId="8"/>
      <queryTableField id="9" name="2016/17" tableColumnId="9"/>
      <queryTableField id="10" name="2017/18" tableColumnId="10"/>
      <queryTableField id="11" name="2018/19" tableColumnId="11"/>
      <queryTableField id="12" name="2019/2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68A3A5-95E8-794F-83FE-B88E7FB55FB3}" name="kava" displayName="kava" ref="A1:M55" tableType="queryTable" totalsRowShown="0">
  <autoFilter ref="A1:M55" xr:uid="{0E68A3A5-95E8-794F-83FE-B88E7FB55FB3}"/>
  <sortState xmlns:xlrd2="http://schemas.microsoft.com/office/spreadsheetml/2017/richdata2" ref="A2:M55">
    <sortCondition ref="A2:A55"/>
  </sortState>
  <tableColumns count="13">
    <tableColumn id="1" xr3:uid="{A415D473-6CB0-1149-B689-9FBA2F3AE2D3}" uniqueName="1" name="Država" queryTableFieldId="1" dataDxfId="3"/>
    <tableColumn id="2" xr3:uid="{203CAAA3-495A-E54B-B03B-0FB0BF5142F0}" uniqueName="2" name="Vrsta" queryTableFieldId="2" dataDxfId="2"/>
    <tableColumn id="3" xr3:uid="{3CEC4D89-15FF-0E48-BB5F-96898329F7D1}" uniqueName="3" name="2010/11" queryTableFieldId="3"/>
    <tableColumn id="4" xr3:uid="{0011658E-6113-C743-B744-9661EB8C614C}" uniqueName="4" name="2011/12" queryTableFieldId="4"/>
    <tableColumn id="5" xr3:uid="{885BFB82-F04B-2D4D-A2D2-05F1AE12E296}" uniqueName="5" name="2012/13" queryTableFieldId="5"/>
    <tableColumn id="6" xr3:uid="{3C8DEE71-AD35-BE40-B31B-44F37B615F16}" uniqueName="6" name="2013/14" queryTableFieldId="6"/>
    <tableColumn id="7" xr3:uid="{9B42DE1D-E59F-5B4B-A380-33D2917EA52F}" uniqueName="7" name="2014/15" queryTableFieldId="7"/>
    <tableColumn id="8" xr3:uid="{D0D27E17-76A8-5C47-9762-7C6F31811260}" uniqueName="8" name="2015/16" queryTableFieldId="8"/>
    <tableColumn id="9" xr3:uid="{16D86296-7168-2742-A786-2882AB2480A1}" uniqueName="9" name="2016/17" queryTableFieldId="9"/>
    <tableColumn id="10" xr3:uid="{46520FEB-B620-3244-8062-B93D3820E674}" uniqueName="10" name="2017/18" queryTableFieldId="10"/>
    <tableColumn id="11" xr3:uid="{A4E5F77E-108F-5E47-8AFD-A4BBDFC09124}" uniqueName="11" name="2018/19" queryTableFieldId="11"/>
    <tableColumn id="12" xr3:uid="{C9150D07-3121-E04C-A253-ED20097242B5}" uniqueName="12" name="2019/20" queryTableFieldId="12"/>
    <tableColumn id="13" xr3:uid="{E6E093BA-1A7B-8B4B-86A0-AC818D572FD5}" uniqueName="13" name="Skupaj" queryTableFieldId="13" dataDxfId="1">
      <calculatedColumnFormula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76343-805F-AA49-BFE7-85BEE0D879E5}">
  <dimension ref="A3:F9"/>
  <sheetViews>
    <sheetView tabSelected="1" workbookViewId="0">
      <selection activeCell="G22" sqref="G22"/>
    </sheetView>
  </sheetViews>
  <sheetFormatPr baseColWidth="10" defaultRowHeight="16" x14ac:dyDescent="0.2"/>
  <cols>
    <col min="1" max="1" width="11.5" bestFit="1" customWidth="1"/>
    <col min="2" max="2" width="16" bestFit="1" customWidth="1"/>
    <col min="3" max="3" width="15" bestFit="1" customWidth="1"/>
    <col min="4" max="4" width="12.1640625" bestFit="1" customWidth="1"/>
    <col min="5" max="5" width="15" bestFit="1" customWidth="1"/>
    <col min="6" max="6" width="12.1640625" bestFit="1" customWidth="1"/>
    <col min="7" max="20" width="16" bestFit="1" customWidth="1"/>
    <col min="21" max="25" width="16.33203125" bestFit="1" customWidth="1"/>
  </cols>
  <sheetData>
    <row r="3" spans="1:6" x14ac:dyDescent="0.2">
      <c r="B3" s="2" t="s">
        <v>77</v>
      </c>
    </row>
    <row r="4" spans="1:6" x14ac:dyDescent="0.2">
      <c r="A4" s="2" t="s">
        <v>78</v>
      </c>
      <c r="B4" t="s">
        <v>15</v>
      </c>
      <c r="C4" t="s">
        <v>17</v>
      </c>
      <c r="D4" t="s">
        <v>22</v>
      </c>
      <c r="E4" t="s">
        <v>13</v>
      </c>
      <c r="F4" t="s">
        <v>71</v>
      </c>
    </row>
    <row r="5" spans="1:6" x14ac:dyDescent="0.2">
      <c r="A5" s="3" t="s">
        <v>72</v>
      </c>
      <c r="B5" s="1">
        <v>106410000</v>
      </c>
      <c r="C5" s="1">
        <v>515347500</v>
      </c>
      <c r="D5" s="1">
        <v>14292857.142857144</v>
      </c>
      <c r="E5" s="1">
        <v>323928000</v>
      </c>
      <c r="F5" s="1">
        <v>183392222.22222221</v>
      </c>
    </row>
    <row r="6" spans="1:6" x14ac:dyDescent="0.2">
      <c r="A6" s="3" t="s">
        <v>73</v>
      </c>
      <c r="B6" s="1">
        <v>111150000</v>
      </c>
      <c r="C6" s="1">
        <v>575437500</v>
      </c>
      <c r="D6" s="1">
        <v>15342857.142857144</v>
      </c>
      <c r="E6" s="1">
        <v>308418000</v>
      </c>
      <c r="F6" s="1">
        <v>191625555.55555555</v>
      </c>
    </row>
    <row r="7" spans="1:6" x14ac:dyDescent="0.2">
      <c r="A7" s="3" t="s">
        <v>74</v>
      </c>
      <c r="B7" s="1">
        <v>110511818.18181819</v>
      </c>
      <c r="C7" s="1">
        <v>477855000</v>
      </c>
      <c r="D7" s="1">
        <v>13281428.571428571</v>
      </c>
      <c r="E7" s="1">
        <v>338154000</v>
      </c>
      <c r="F7" s="1">
        <v>181881111.1111111</v>
      </c>
    </row>
    <row r="8" spans="1:6" x14ac:dyDescent="0.2">
      <c r="A8" s="3" t="s">
        <v>75</v>
      </c>
      <c r="B8" s="1">
        <v>110449090.90909091</v>
      </c>
      <c r="C8" s="1">
        <v>505327500</v>
      </c>
      <c r="D8" s="1">
        <v>10945714.285714285</v>
      </c>
      <c r="E8" s="1">
        <v>311334000</v>
      </c>
      <c r="F8" s="1">
        <v>180353333.33333334</v>
      </c>
    </row>
    <row r="9" spans="1:6" x14ac:dyDescent="0.2">
      <c r="A9" s="3" t="s">
        <v>76</v>
      </c>
      <c r="B9" s="1">
        <v>98970000</v>
      </c>
      <c r="C9" s="1">
        <v>465060000</v>
      </c>
      <c r="D9" s="1">
        <v>12278571.428571429</v>
      </c>
      <c r="E9" s="1">
        <v>329784000</v>
      </c>
      <c r="F9" s="1">
        <v>173473333.33333334</v>
      </c>
    </row>
  </sheetData>
  <pageMargins left="0.7" right="0.7" top="0.75" bottom="0.75" header="0.3" footer="0.3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Label 1">
              <controlPr defaultSize="0" autoFill="0" autoLine="0" autoPict="0">
                <anchor moveWithCells="1" sizeWithCells="1">
                  <from>
                    <xdr:col>0</xdr:col>
                    <xdr:colOff>787400</xdr:colOff>
                    <xdr:row>10</xdr:row>
                    <xdr:rowOff>0</xdr:rowOff>
                  </from>
                  <to>
                    <xdr:col>6</xdr:col>
                    <xdr:colOff>215900</xdr:colOff>
                    <xdr:row>11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74935-FF71-BD4E-A46C-6349F8E84AA4}">
  <dimension ref="A1:M55"/>
  <sheetViews>
    <sheetView workbookViewId="0">
      <selection activeCell="P23" sqref="P23"/>
    </sheetView>
  </sheetViews>
  <sheetFormatPr baseColWidth="10" defaultRowHeight="16" x14ac:dyDescent="0.2"/>
  <cols>
    <col min="1" max="1" width="29" bestFit="1" customWidth="1"/>
    <col min="2" max="2" width="14.6640625" bestFit="1" customWidth="1"/>
    <col min="3" max="12" width="11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70</v>
      </c>
    </row>
    <row r="2" spans="1:13" x14ac:dyDescent="0.2">
      <c r="A2" s="1" t="s">
        <v>12</v>
      </c>
      <c r="B2" s="1" t="s">
        <v>13</v>
      </c>
      <c r="C2">
        <v>2100000</v>
      </c>
      <c r="D2">
        <v>1740000</v>
      </c>
      <c r="E2">
        <v>1980000</v>
      </c>
      <c r="F2">
        <v>2100000</v>
      </c>
      <c r="G2">
        <v>2340000</v>
      </c>
      <c r="H2">
        <v>2460000</v>
      </c>
      <c r="I2">
        <v>2700000</v>
      </c>
      <c r="J2">
        <v>2100000</v>
      </c>
      <c r="K2">
        <v>2520000</v>
      </c>
      <c r="L2">
        <v>3120000</v>
      </c>
      <c r="M2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23160000</v>
      </c>
    </row>
    <row r="3" spans="1:13" x14ac:dyDescent="0.2">
      <c r="A3" s="1" t="s">
        <v>14</v>
      </c>
      <c r="B3" s="1" t="s">
        <v>15</v>
      </c>
      <c r="C3">
        <v>7020000</v>
      </c>
      <c r="D3">
        <v>7920000</v>
      </c>
      <c r="E3">
        <v>6300000</v>
      </c>
      <c r="F3">
        <v>7200000</v>
      </c>
      <c r="G3">
        <v>6000000</v>
      </c>
      <c r="H3">
        <v>5040000</v>
      </c>
      <c r="I3">
        <v>4680000</v>
      </c>
      <c r="J3">
        <v>5040000</v>
      </c>
      <c r="K3">
        <v>4980000</v>
      </c>
      <c r="L3">
        <v>4860000</v>
      </c>
      <c r="M3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59040000</v>
      </c>
    </row>
    <row r="4" spans="1:13" x14ac:dyDescent="0.2">
      <c r="A4" s="1" t="s">
        <v>16</v>
      </c>
      <c r="B4" s="1" t="s">
        <v>17</v>
      </c>
      <c r="C4">
        <v>3325680000</v>
      </c>
      <c r="D4">
        <v>2915520000</v>
      </c>
      <c r="E4">
        <v>3325080000</v>
      </c>
      <c r="F4">
        <v>3281340000</v>
      </c>
      <c r="G4">
        <v>3198300000</v>
      </c>
      <c r="H4">
        <v>3172260000</v>
      </c>
      <c r="I4">
        <v>3407280000</v>
      </c>
      <c r="J4">
        <v>3164400000</v>
      </c>
      <c r="K4">
        <v>3907860000</v>
      </c>
      <c r="L4">
        <v>3492660000</v>
      </c>
      <c r="M4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33190380000</v>
      </c>
    </row>
    <row r="5" spans="1:13" x14ac:dyDescent="0.2">
      <c r="A5" s="1" t="s">
        <v>18</v>
      </c>
      <c r="B5" s="1" t="s">
        <v>17</v>
      </c>
      <c r="C5">
        <v>21180000</v>
      </c>
      <c r="D5">
        <v>12240000</v>
      </c>
      <c r="E5">
        <v>24360000</v>
      </c>
      <c r="F5">
        <v>9780000</v>
      </c>
      <c r="G5">
        <v>14880000</v>
      </c>
      <c r="H5">
        <v>16140000</v>
      </c>
      <c r="I5">
        <v>11760000</v>
      </c>
      <c r="J5">
        <v>12120000</v>
      </c>
      <c r="K5">
        <v>12240000</v>
      </c>
      <c r="L5">
        <v>16320000</v>
      </c>
      <c r="M5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151020000</v>
      </c>
    </row>
    <row r="6" spans="1:13" x14ac:dyDescent="0.2">
      <c r="A6" s="1" t="s">
        <v>37</v>
      </c>
      <c r="B6" s="1" t="s">
        <v>13</v>
      </c>
      <c r="C6">
        <v>31620000</v>
      </c>
      <c r="D6">
        <v>40140000</v>
      </c>
      <c r="E6">
        <v>22260000</v>
      </c>
      <c r="F6">
        <v>24240000</v>
      </c>
      <c r="G6">
        <v>28980000</v>
      </c>
      <c r="H6">
        <v>23460000</v>
      </c>
      <c r="I6">
        <v>17520000</v>
      </c>
      <c r="J6">
        <v>22200000</v>
      </c>
      <c r="K6">
        <v>18600000</v>
      </c>
      <c r="L6">
        <v>16080000</v>
      </c>
      <c r="M6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245100000</v>
      </c>
    </row>
    <row r="7" spans="1:13" x14ac:dyDescent="0.2">
      <c r="A7" s="1" t="s">
        <v>38</v>
      </c>
      <c r="B7" s="1" t="s">
        <v>22</v>
      </c>
      <c r="C7">
        <v>4680000</v>
      </c>
      <c r="D7">
        <v>5460000</v>
      </c>
      <c r="E7">
        <v>1380000</v>
      </c>
      <c r="F7">
        <v>5400000</v>
      </c>
      <c r="G7">
        <v>3780000</v>
      </c>
      <c r="H7">
        <v>6000000</v>
      </c>
      <c r="I7">
        <v>2220000</v>
      </c>
      <c r="J7">
        <v>3600000</v>
      </c>
      <c r="K7">
        <v>2220000</v>
      </c>
      <c r="L7">
        <v>3300000</v>
      </c>
      <c r="M7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38040000</v>
      </c>
    </row>
    <row r="8" spans="1:13" x14ac:dyDescent="0.2">
      <c r="A8" s="1" t="s">
        <v>39</v>
      </c>
      <c r="B8" s="1" t="s">
        <v>15</v>
      </c>
      <c r="C8">
        <v>511380000</v>
      </c>
      <c r="D8">
        <v>459180000</v>
      </c>
      <c r="E8">
        <v>595620000</v>
      </c>
      <c r="F8">
        <v>727440000</v>
      </c>
      <c r="G8">
        <v>799980000</v>
      </c>
      <c r="H8">
        <v>840540000</v>
      </c>
      <c r="I8">
        <v>878040000</v>
      </c>
      <c r="J8">
        <v>829440000</v>
      </c>
      <c r="K8">
        <v>831960000</v>
      </c>
      <c r="L8">
        <v>846000000</v>
      </c>
      <c r="M8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7319580000</v>
      </c>
    </row>
    <row r="9" spans="1:13" x14ac:dyDescent="0.2">
      <c r="A9" s="1" t="s">
        <v>30</v>
      </c>
      <c r="B9" s="1" t="s">
        <v>22</v>
      </c>
      <c r="C9">
        <v>180000</v>
      </c>
      <c r="D9">
        <v>180000</v>
      </c>
      <c r="E9">
        <v>180000</v>
      </c>
      <c r="F9">
        <v>180000</v>
      </c>
      <c r="G9">
        <v>180000</v>
      </c>
      <c r="H9">
        <v>180000</v>
      </c>
      <c r="I9">
        <v>180000</v>
      </c>
      <c r="J9">
        <v>180000</v>
      </c>
      <c r="K9">
        <v>180000</v>
      </c>
      <c r="L9">
        <v>180000</v>
      </c>
      <c r="M9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1800000</v>
      </c>
    </row>
    <row r="10" spans="1:13" x14ac:dyDescent="0.2">
      <c r="A10" s="1" t="s">
        <v>40</v>
      </c>
      <c r="B10" s="1" t="s">
        <v>15</v>
      </c>
      <c r="C10">
        <v>96840000</v>
      </c>
      <c r="D10">
        <v>109860000</v>
      </c>
      <c r="E10">
        <v>109380000</v>
      </c>
      <c r="F10">
        <v>93120000</v>
      </c>
      <c r="G10">
        <v>88500000</v>
      </c>
      <c r="H10">
        <v>86400000</v>
      </c>
      <c r="I10">
        <v>82320000</v>
      </c>
      <c r="J10">
        <v>93660000</v>
      </c>
      <c r="K10">
        <v>85620000</v>
      </c>
      <c r="L10">
        <v>88320000</v>
      </c>
      <c r="M10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934020000</v>
      </c>
    </row>
    <row r="11" spans="1:13" x14ac:dyDescent="0.2">
      <c r="A11" s="1" t="s">
        <v>41</v>
      </c>
      <c r="B11" s="1" t="s">
        <v>22</v>
      </c>
      <c r="C11">
        <v>50220000</v>
      </c>
      <c r="D11">
        <v>132960000</v>
      </c>
      <c r="E11">
        <v>119640000</v>
      </c>
      <c r="F11">
        <v>155880000</v>
      </c>
      <c r="G11">
        <v>103680000</v>
      </c>
      <c r="H11">
        <v>77340000</v>
      </c>
      <c r="I11">
        <v>67020000</v>
      </c>
      <c r="J11">
        <v>97440000</v>
      </c>
      <c r="K11">
        <v>130500000</v>
      </c>
      <c r="L11">
        <v>115740000</v>
      </c>
      <c r="M11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1050420000</v>
      </c>
    </row>
    <row r="12" spans="1:13" x14ac:dyDescent="0.2">
      <c r="A12" s="1" t="s">
        <v>31</v>
      </c>
      <c r="B12" s="1" t="s">
        <v>15</v>
      </c>
      <c r="C12">
        <v>6480000</v>
      </c>
      <c r="D12">
        <v>6000000</v>
      </c>
      <c r="E12">
        <v>5280000</v>
      </c>
      <c r="F12">
        <v>6420000</v>
      </c>
      <c r="G12">
        <v>6060000</v>
      </c>
      <c r="H12">
        <v>6000000</v>
      </c>
      <c r="I12">
        <v>6180000</v>
      </c>
      <c r="J12">
        <v>6780000</v>
      </c>
      <c r="K12">
        <v>7680000</v>
      </c>
      <c r="L12">
        <v>7800000</v>
      </c>
      <c r="M12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64680000</v>
      </c>
    </row>
    <row r="13" spans="1:13" x14ac:dyDescent="0.2">
      <c r="A13" s="1" t="s">
        <v>42</v>
      </c>
      <c r="B13" s="1" t="s">
        <v>13</v>
      </c>
      <c r="C13">
        <v>18300000</v>
      </c>
      <c r="D13">
        <v>21420000</v>
      </c>
      <c r="E13">
        <v>20040000</v>
      </c>
      <c r="F13">
        <v>20820000</v>
      </c>
      <c r="G13">
        <v>20100000</v>
      </c>
      <c r="H13">
        <v>22260000</v>
      </c>
      <c r="I13">
        <v>16740000</v>
      </c>
      <c r="J13">
        <v>22920000</v>
      </c>
      <c r="K13">
        <v>23820000</v>
      </c>
      <c r="L13">
        <v>23460000</v>
      </c>
      <c r="M13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209880000</v>
      </c>
    </row>
    <row r="14" spans="1:13" x14ac:dyDescent="0.2">
      <c r="A14" s="1" t="s">
        <v>32</v>
      </c>
      <c r="B14" s="1" t="s">
        <v>17</v>
      </c>
      <c r="C14">
        <v>22680000</v>
      </c>
      <c r="D14">
        <v>29460000</v>
      </c>
      <c r="E14">
        <v>29280000</v>
      </c>
      <c r="F14">
        <v>25500000</v>
      </c>
      <c r="G14">
        <v>23820000</v>
      </c>
      <c r="H14">
        <v>24000000</v>
      </c>
      <c r="I14">
        <v>24720000</v>
      </c>
      <c r="J14">
        <v>24720000</v>
      </c>
      <c r="K14">
        <v>25860000</v>
      </c>
      <c r="L14">
        <v>24120000</v>
      </c>
      <c r="M14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254160000</v>
      </c>
    </row>
    <row r="15" spans="1:13" x14ac:dyDescent="0.2">
      <c r="A15" s="1" t="s">
        <v>19</v>
      </c>
      <c r="B15" s="1" t="s">
        <v>17</v>
      </c>
      <c r="C15">
        <v>51240000</v>
      </c>
      <c r="D15">
        <v>49500000</v>
      </c>
      <c r="E15">
        <v>49680000</v>
      </c>
      <c r="F15">
        <v>39960000</v>
      </c>
      <c r="G15">
        <v>38640000</v>
      </c>
      <c r="H15">
        <v>38640000</v>
      </c>
      <c r="I15">
        <v>38700000</v>
      </c>
      <c r="J15">
        <v>37440000</v>
      </c>
      <c r="K15">
        <v>29760000</v>
      </c>
      <c r="L15">
        <v>33540000</v>
      </c>
      <c r="M15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407100000</v>
      </c>
    </row>
    <row r="16" spans="1:13" x14ac:dyDescent="0.2">
      <c r="A16" s="1" t="s">
        <v>43</v>
      </c>
      <c r="B16" s="1" t="s">
        <v>15</v>
      </c>
      <c r="C16">
        <v>112380000</v>
      </c>
      <c r="D16">
        <v>69840000</v>
      </c>
      <c r="E16">
        <v>74400000</v>
      </c>
      <c r="F16">
        <v>30900000</v>
      </c>
      <c r="G16">
        <v>39900000</v>
      </c>
      <c r="H16">
        <v>33900000</v>
      </c>
      <c r="I16">
        <v>36600000</v>
      </c>
      <c r="J16">
        <v>45600000</v>
      </c>
      <c r="K16">
        <v>45660000</v>
      </c>
      <c r="L16">
        <v>39660000</v>
      </c>
      <c r="M16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528840000</v>
      </c>
    </row>
    <row r="17" spans="1:13" x14ac:dyDescent="0.2">
      <c r="A17" s="1" t="s">
        <v>44</v>
      </c>
      <c r="B17" s="1" t="s">
        <v>15</v>
      </c>
      <c r="C17">
        <v>333600000</v>
      </c>
      <c r="D17">
        <v>339000000</v>
      </c>
      <c r="E17">
        <v>367920000</v>
      </c>
      <c r="F17">
        <v>374520000</v>
      </c>
      <c r="G17">
        <v>382980000</v>
      </c>
      <c r="H17">
        <v>390900000</v>
      </c>
      <c r="I17">
        <v>428580000</v>
      </c>
      <c r="J17">
        <v>440820000</v>
      </c>
      <c r="K17">
        <v>450660000</v>
      </c>
      <c r="L17">
        <v>440580000</v>
      </c>
      <c r="M17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3949560000</v>
      </c>
    </row>
    <row r="18" spans="1:13" x14ac:dyDescent="0.2">
      <c r="A18" s="1" t="s">
        <v>45</v>
      </c>
      <c r="B18" s="1" t="s">
        <v>22</v>
      </c>
      <c r="C18">
        <v>120000</v>
      </c>
      <c r="D18">
        <v>60000</v>
      </c>
      <c r="E18">
        <v>60000</v>
      </c>
      <c r="F18">
        <v>0</v>
      </c>
      <c r="G18">
        <v>60000</v>
      </c>
      <c r="H18">
        <v>60000</v>
      </c>
      <c r="I18">
        <v>0</v>
      </c>
      <c r="J18">
        <v>0</v>
      </c>
      <c r="K18">
        <v>60000</v>
      </c>
      <c r="L18">
        <v>0</v>
      </c>
      <c r="M18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420000</v>
      </c>
    </row>
    <row r="19" spans="1:13" x14ac:dyDescent="0.2">
      <c r="A19" s="1" t="s">
        <v>46</v>
      </c>
      <c r="B19" s="1" t="s">
        <v>22</v>
      </c>
      <c r="C19">
        <v>4140000</v>
      </c>
      <c r="D19">
        <v>1800000</v>
      </c>
      <c r="E19">
        <v>1260000</v>
      </c>
      <c r="F19">
        <v>1500000</v>
      </c>
      <c r="G19">
        <v>2100000</v>
      </c>
      <c r="H19">
        <v>2160000</v>
      </c>
      <c r="I19">
        <v>1560000</v>
      </c>
      <c r="J19">
        <v>780000</v>
      </c>
      <c r="K19">
        <v>900000</v>
      </c>
      <c r="L19">
        <v>840000</v>
      </c>
      <c r="M19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17040000</v>
      </c>
    </row>
    <row r="20" spans="1:13" x14ac:dyDescent="0.2">
      <c r="A20" s="1" t="s">
        <v>47</v>
      </c>
      <c r="B20" s="1" t="s">
        <v>17</v>
      </c>
      <c r="C20">
        <v>237000000</v>
      </c>
      <c r="D20">
        <v>231000000</v>
      </c>
      <c r="E20">
        <v>225780000</v>
      </c>
      <c r="F20">
        <v>191340000</v>
      </c>
      <c r="G20">
        <v>198600000</v>
      </c>
      <c r="H20">
        <v>204600000</v>
      </c>
      <c r="I20">
        <v>221040000</v>
      </c>
      <c r="J20">
        <v>224040000</v>
      </c>
      <c r="K20">
        <v>240420000</v>
      </c>
      <c r="L20">
        <v>216360000</v>
      </c>
      <c r="M20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2190180000</v>
      </c>
    </row>
    <row r="21" spans="1:13" x14ac:dyDescent="0.2">
      <c r="A21" s="1" t="s">
        <v>48</v>
      </c>
      <c r="B21" s="1" t="s">
        <v>22</v>
      </c>
      <c r="C21">
        <v>23160000</v>
      </c>
      <c r="D21">
        <v>23160000</v>
      </c>
      <c r="E21">
        <v>14040000</v>
      </c>
      <c r="F21">
        <v>6060000</v>
      </c>
      <c r="G21">
        <v>9900000</v>
      </c>
      <c r="H21">
        <v>17160000</v>
      </c>
      <c r="I21">
        <v>16200000</v>
      </c>
      <c r="J21">
        <v>13740000</v>
      </c>
      <c r="K21">
        <v>9180000</v>
      </c>
      <c r="L21">
        <v>10680000</v>
      </c>
      <c r="M21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143280000</v>
      </c>
    </row>
    <row r="22" spans="1:13" x14ac:dyDescent="0.2">
      <c r="A22" s="1" t="s">
        <v>49</v>
      </c>
      <c r="B22" s="1" t="s">
        <v>22</v>
      </c>
      <c r="C22">
        <v>540000</v>
      </c>
      <c r="D22">
        <v>600000</v>
      </c>
      <c r="E22">
        <v>600000</v>
      </c>
      <c r="F22">
        <v>780000</v>
      </c>
      <c r="G22">
        <v>540000</v>
      </c>
      <c r="H22">
        <v>660000</v>
      </c>
      <c r="I22">
        <v>600000</v>
      </c>
      <c r="J22">
        <v>600000</v>
      </c>
      <c r="K22">
        <v>600000</v>
      </c>
      <c r="L22">
        <v>600000</v>
      </c>
      <c r="M22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6120000</v>
      </c>
    </row>
    <row r="23" spans="1:13" x14ac:dyDescent="0.2">
      <c r="A23" s="1" t="s">
        <v>33</v>
      </c>
      <c r="B23" s="1" t="s">
        <v>15</v>
      </c>
      <c r="C23">
        <v>21000000</v>
      </c>
      <c r="D23">
        <v>20940000</v>
      </c>
      <c r="E23">
        <v>21000000</v>
      </c>
      <c r="F23">
        <v>20700000</v>
      </c>
      <c r="G23">
        <v>20580000</v>
      </c>
      <c r="H23">
        <v>20460000</v>
      </c>
      <c r="I23">
        <v>20520000</v>
      </c>
      <c r="J23">
        <v>20520000</v>
      </c>
      <c r="K23">
        <v>20820000</v>
      </c>
      <c r="L23">
        <v>20820000</v>
      </c>
      <c r="M23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207360000</v>
      </c>
    </row>
    <row r="24" spans="1:13" x14ac:dyDescent="0.2">
      <c r="A24" s="1" t="s">
        <v>50</v>
      </c>
      <c r="B24" s="1" t="s">
        <v>15</v>
      </c>
      <c r="C24">
        <v>259860000</v>
      </c>
      <c r="D24">
        <v>352920000</v>
      </c>
      <c r="E24">
        <v>281160000</v>
      </c>
      <c r="F24">
        <v>274980000</v>
      </c>
      <c r="G24">
        <v>316080000</v>
      </c>
      <c r="H24">
        <v>347160000</v>
      </c>
      <c r="I24">
        <v>447420000</v>
      </c>
      <c r="J24">
        <v>453600000</v>
      </c>
      <c r="K24">
        <v>429180000</v>
      </c>
      <c r="L24">
        <v>355860000</v>
      </c>
      <c r="M24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3518220000</v>
      </c>
    </row>
    <row r="25" spans="1:13" x14ac:dyDescent="0.2">
      <c r="A25" s="1" t="s">
        <v>51</v>
      </c>
      <c r="B25" s="1" t="s">
        <v>13</v>
      </c>
      <c r="C25">
        <v>336000000</v>
      </c>
      <c r="D25">
        <v>320040000</v>
      </c>
      <c r="E25">
        <v>324180000</v>
      </c>
      <c r="F25">
        <v>304500000</v>
      </c>
      <c r="G25">
        <v>327000000</v>
      </c>
      <c r="H25">
        <v>349800000</v>
      </c>
      <c r="I25">
        <v>369660000</v>
      </c>
      <c r="J25">
        <v>348780000</v>
      </c>
      <c r="K25">
        <v>319500000</v>
      </c>
      <c r="L25">
        <v>299280000</v>
      </c>
      <c r="M25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3298740000</v>
      </c>
    </row>
    <row r="26" spans="1:13" x14ac:dyDescent="0.2">
      <c r="A26" s="1" t="s">
        <v>20</v>
      </c>
      <c r="B26" s="1" t="s">
        <v>13</v>
      </c>
      <c r="C26">
        <v>547740000</v>
      </c>
      <c r="D26">
        <v>413340000</v>
      </c>
      <c r="E26">
        <v>784200000</v>
      </c>
      <c r="F26">
        <v>774060000</v>
      </c>
      <c r="G26">
        <v>656760000</v>
      </c>
      <c r="H26">
        <v>755100000</v>
      </c>
      <c r="I26">
        <v>692460000</v>
      </c>
      <c r="J26">
        <v>651120000</v>
      </c>
      <c r="K26">
        <v>577080000</v>
      </c>
      <c r="L26">
        <v>685980000</v>
      </c>
      <c r="M26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6537840000</v>
      </c>
    </row>
    <row r="27" spans="1:13" x14ac:dyDescent="0.2">
      <c r="A27" s="1" t="s">
        <v>52</v>
      </c>
      <c r="B27" s="1" t="s">
        <v>15</v>
      </c>
      <c r="C27">
        <v>1260000</v>
      </c>
      <c r="D27">
        <v>1440000</v>
      </c>
      <c r="E27">
        <v>1440000</v>
      </c>
      <c r="F27">
        <v>1200000</v>
      </c>
      <c r="G27">
        <v>1260000</v>
      </c>
      <c r="H27">
        <v>1200000</v>
      </c>
      <c r="I27">
        <v>1080000</v>
      </c>
      <c r="J27">
        <v>1140000</v>
      </c>
      <c r="K27">
        <v>1080000</v>
      </c>
      <c r="L27">
        <v>1380000</v>
      </c>
      <c r="M27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12480000</v>
      </c>
    </row>
    <row r="28" spans="1:13" x14ac:dyDescent="0.2">
      <c r="A28" s="1" t="s">
        <v>53</v>
      </c>
      <c r="B28" s="1" t="s">
        <v>15</v>
      </c>
      <c r="C28">
        <v>38460000</v>
      </c>
      <c r="D28">
        <v>45420000</v>
      </c>
      <c r="E28">
        <v>52500000</v>
      </c>
      <c r="F28">
        <v>50580000</v>
      </c>
      <c r="G28">
        <v>46200000</v>
      </c>
      <c r="H28">
        <v>47940000</v>
      </c>
      <c r="I28">
        <v>47580000</v>
      </c>
      <c r="J28">
        <v>47400000</v>
      </c>
      <c r="K28">
        <v>55800000</v>
      </c>
      <c r="L28">
        <v>50640000</v>
      </c>
      <c r="M28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482520000</v>
      </c>
    </row>
    <row r="29" spans="1:13" x14ac:dyDescent="0.2">
      <c r="A29" s="1" t="s">
        <v>54</v>
      </c>
      <c r="B29" s="1" t="s">
        <v>22</v>
      </c>
      <c r="C29">
        <v>32640000</v>
      </c>
      <c r="D29">
        <v>30840000</v>
      </c>
      <c r="E29">
        <v>32460000</v>
      </c>
      <c r="F29">
        <v>32640000</v>
      </c>
      <c r="G29">
        <v>33120000</v>
      </c>
      <c r="H29">
        <v>32100000</v>
      </c>
      <c r="I29">
        <v>30600000</v>
      </c>
      <c r="J29">
        <v>31980000</v>
      </c>
      <c r="K29">
        <v>38820000</v>
      </c>
      <c r="L29">
        <v>37320000</v>
      </c>
      <c r="M29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332520000</v>
      </c>
    </row>
    <row r="30" spans="1:13" x14ac:dyDescent="0.2">
      <c r="A30" s="1" t="s">
        <v>55</v>
      </c>
      <c r="B30" s="1" t="s">
        <v>22</v>
      </c>
      <c r="C30">
        <v>600000</v>
      </c>
      <c r="D30">
        <v>600000</v>
      </c>
      <c r="E30">
        <v>600000</v>
      </c>
      <c r="F30">
        <v>360000</v>
      </c>
      <c r="G30">
        <v>420000</v>
      </c>
      <c r="H30">
        <v>600000</v>
      </c>
      <c r="I30">
        <v>720000</v>
      </c>
      <c r="J30">
        <v>960000</v>
      </c>
      <c r="K30">
        <v>360000</v>
      </c>
      <c r="L30">
        <v>360000</v>
      </c>
      <c r="M30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5580000</v>
      </c>
    </row>
    <row r="31" spans="1:13" x14ac:dyDescent="0.2">
      <c r="A31" s="1" t="s">
        <v>21</v>
      </c>
      <c r="B31" s="1" t="s">
        <v>22</v>
      </c>
      <c r="C31">
        <v>31800000</v>
      </c>
      <c r="D31">
        <v>35100000</v>
      </c>
      <c r="E31">
        <v>30000000</v>
      </c>
      <c r="F31">
        <v>35040000</v>
      </c>
      <c r="G31">
        <v>30060000</v>
      </c>
      <c r="H31">
        <v>24840000</v>
      </c>
      <c r="I31">
        <v>27180000</v>
      </c>
      <c r="J31">
        <v>24240000</v>
      </c>
      <c r="K31">
        <v>22740000</v>
      </c>
      <c r="L31">
        <v>22980000</v>
      </c>
      <c r="M31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283980000</v>
      </c>
    </row>
    <row r="32" spans="1:13" x14ac:dyDescent="0.2">
      <c r="A32" s="1" t="s">
        <v>23</v>
      </c>
      <c r="B32" s="1" t="s">
        <v>15</v>
      </c>
      <c r="C32">
        <v>1020000</v>
      </c>
      <c r="D32">
        <v>1560000</v>
      </c>
      <c r="E32">
        <v>1380000</v>
      </c>
      <c r="F32">
        <v>1680000</v>
      </c>
      <c r="G32">
        <v>1500000</v>
      </c>
      <c r="H32">
        <v>1260000</v>
      </c>
      <c r="I32">
        <v>1200000</v>
      </c>
      <c r="J32">
        <v>840000</v>
      </c>
      <c r="K32">
        <v>780000</v>
      </c>
      <c r="L32">
        <v>960000</v>
      </c>
      <c r="M32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12180000</v>
      </c>
    </row>
    <row r="33" spans="1:13" x14ac:dyDescent="0.2">
      <c r="A33" s="1" t="s">
        <v>56</v>
      </c>
      <c r="B33" s="1" t="s">
        <v>17</v>
      </c>
      <c r="C33">
        <v>240060000</v>
      </c>
      <c r="D33">
        <v>273660000</v>
      </c>
      <c r="E33">
        <v>259620000</v>
      </c>
      <c r="F33">
        <v>234960000</v>
      </c>
      <c r="G33">
        <v>218160000</v>
      </c>
      <c r="H33">
        <v>166320000</v>
      </c>
      <c r="I33">
        <v>218100000</v>
      </c>
      <c r="J33">
        <v>269100000</v>
      </c>
      <c r="K33">
        <v>261060000</v>
      </c>
      <c r="L33">
        <v>239100000</v>
      </c>
      <c r="M33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2380140000</v>
      </c>
    </row>
    <row r="34" spans="1:13" x14ac:dyDescent="0.2">
      <c r="A34" s="1" t="s">
        <v>57</v>
      </c>
      <c r="B34" s="1" t="s">
        <v>15</v>
      </c>
      <c r="C34">
        <v>180000</v>
      </c>
      <c r="D34">
        <v>120000</v>
      </c>
      <c r="E34">
        <v>60000</v>
      </c>
      <c r="F34">
        <v>60000</v>
      </c>
      <c r="G34">
        <v>120000</v>
      </c>
      <c r="H34">
        <v>120000</v>
      </c>
      <c r="I34">
        <v>60000</v>
      </c>
      <c r="J34">
        <v>120000</v>
      </c>
      <c r="K34">
        <v>60000</v>
      </c>
      <c r="L34">
        <v>60000</v>
      </c>
      <c r="M34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960000</v>
      </c>
    </row>
    <row r="35" spans="1:13" x14ac:dyDescent="0.2">
      <c r="A35" s="1" t="s">
        <v>58</v>
      </c>
      <c r="B35" s="1" t="s">
        <v>15</v>
      </c>
      <c r="C35">
        <v>98280000</v>
      </c>
      <c r="D35">
        <v>131580000</v>
      </c>
      <c r="E35">
        <v>112380000</v>
      </c>
      <c r="F35">
        <v>123600000</v>
      </c>
      <c r="G35">
        <v>113880000</v>
      </c>
      <c r="H35">
        <v>127800000</v>
      </c>
      <c r="I35">
        <v>153300000</v>
      </c>
      <c r="J35">
        <v>158520000</v>
      </c>
      <c r="K35">
        <v>172740000</v>
      </c>
      <c r="L35">
        <v>172920000</v>
      </c>
      <c r="M35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1365000000</v>
      </c>
    </row>
    <row r="36" spans="1:13" x14ac:dyDescent="0.2">
      <c r="A36" s="1" t="s">
        <v>59</v>
      </c>
      <c r="B36" s="1" t="s">
        <v>22</v>
      </c>
      <c r="C36">
        <v>2520000</v>
      </c>
      <c r="D36">
        <v>2820000</v>
      </c>
      <c r="E36">
        <v>2460000</v>
      </c>
      <c r="F36">
        <v>2460000</v>
      </c>
      <c r="G36">
        <v>2580000</v>
      </c>
      <c r="H36">
        <v>2460000</v>
      </c>
      <c r="I36">
        <v>2580000</v>
      </c>
      <c r="J36">
        <v>2520000</v>
      </c>
      <c r="K36">
        <v>2520000</v>
      </c>
      <c r="L36">
        <v>2520000</v>
      </c>
      <c r="M36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25440000</v>
      </c>
    </row>
    <row r="37" spans="1:13" x14ac:dyDescent="0.2">
      <c r="A37" s="1" t="s">
        <v>60</v>
      </c>
      <c r="B37" s="1" t="s">
        <v>15</v>
      </c>
      <c r="C37">
        <v>6840000</v>
      </c>
      <c r="D37">
        <v>6360000</v>
      </c>
      <c r="E37">
        <v>6960000</v>
      </c>
      <c r="F37">
        <v>6780000</v>
      </c>
      <c r="G37">
        <v>6360000</v>
      </c>
      <c r="H37">
        <v>7620000</v>
      </c>
      <c r="I37">
        <v>7200000</v>
      </c>
      <c r="J37">
        <v>6300000</v>
      </c>
      <c r="K37">
        <v>7680000</v>
      </c>
      <c r="L37">
        <v>6840000</v>
      </c>
      <c r="M37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68940000</v>
      </c>
    </row>
    <row r="38" spans="1:13" x14ac:dyDescent="0.2">
      <c r="A38" s="1" t="s">
        <v>24</v>
      </c>
      <c r="B38" s="1" t="s">
        <v>17</v>
      </c>
      <c r="C38">
        <v>52020000</v>
      </c>
      <c r="D38">
        <v>84840000</v>
      </c>
      <c r="E38">
        <v>42960000</v>
      </c>
      <c r="F38">
        <v>50100000</v>
      </c>
      <c r="G38">
        <v>47880000</v>
      </c>
      <c r="H38">
        <v>42720000</v>
      </c>
      <c r="I38">
        <v>70260000</v>
      </c>
      <c r="J38">
        <v>44040000</v>
      </c>
      <c r="K38">
        <v>55800000</v>
      </c>
      <c r="L38">
        <v>45120000</v>
      </c>
      <c r="M38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535740000</v>
      </c>
    </row>
    <row r="39" spans="1:13" x14ac:dyDescent="0.2">
      <c r="A39" s="1" t="s">
        <v>25</v>
      </c>
      <c r="B39" s="1" t="s">
        <v>15</v>
      </c>
      <c r="C39">
        <v>1200000</v>
      </c>
      <c r="D39">
        <v>1200000</v>
      </c>
      <c r="E39">
        <v>1200000</v>
      </c>
      <c r="F39">
        <v>1200000</v>
      </c>
      <c r="G39">
        <v>1200000</v>
      </c>
      <c r="H39">
        <v>1200000</v>
      </c>
      <c r="I39">
        <v>1200000</v>
      </c>
      <c r="J39">
        <v>1200000</v>
      </c>
      <c r="K39">
        <v>1200000</v>
      </c>
      <c r="L39">
        <v>1200000</v>
      </c>
      <c r="M39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12000000</v>
      </c>
    </row>
    <row r="40" spans="1:13" x14ac:dyDescent="0.2">
      <c r="A40" s="1" t="s">
        <v>26</v>
      </c>
      <c r="B40" s="1" t="s">
        <v>15</v>
      </c>
      <c r="C40">
        <v>244140000</v>
      </c>
      <c r="D40">
        <v>322380000</v>
      </c>
      <c r="E40">
        <v>267000000</v>
      </c>
      <c r="F40">
        <v>246360000</v>
      </c>
      <c r="G40">
        <v>172980000</v>
      </c>
      <c r="H40">
        <v>198240000</v>
      </c>
      <c r="I40">
        <v>253380000</v>
      </c>
      <c r="J40">
        <v>256740000</v>
      </c>
      <c r="K40">
        <v>255780000</v>
      </c>
      <c r="L40">
        <v>230160000</v>
      </c>
      <c r="M40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2447160000</v>
      </c>
    </row>
    <row r="41" spans="1:13" x14ac:dyDescent="0.2">
      <c r="A41" s="1" t="s">
        <v>34</v>
      </c>
      <c r="B41" s="1" t="s">
        <v>13</v>
      </c>
      <c r="C41">
        <v>11340000</v>
      </c>
      <c r="D41">
        <v>10800000</v>
      </c>
      <c r="E41">
        <v>10620000</v>
      </c>
      <c r="F41">
        <v>11160000</v>
      </c>
      <c r="G41">
        <v>11580000</v>
      </c>
      <c r="H41">
        <v>12480000</v>
      </c>
      <c r="I41">
        <v>12900000</v>
      </c>
      <c r="J41">
        <v>12180000</v>
      </c>
      <c r="K41">
        <v>12360000</v>
      </c>
      <c r="L41">
        <v>18420000</v>
      </c>
      <c r="M41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123840000</v>
      </c>
    </row>
    <row r="42" spans="1:13" x14ac:dyDescent="0.2">
      <c r="A42" s="1" t="s">
        <v>27</v>
      </c>
      <c r="B42" s="1" t="s">
        <v>15</v>
      </c>
      <c r="C42">
        <v>19380000</v>
      </c>
      <c r="D42">
        <v>15060000</v>
      </c>
      <c r="E42">
        <v>15540000</v>
      </c>
      <c r="F42">
        <v>15480000</v>
      </c>
      <c r="G42">
        <v>14280000</v>
      </c>
      <c r="H42">
        <v>17580000</v>
      </c>
      <c r="I42">
        <v>13860000</v>
      </c>
      <c r="J42">
        <v>15840000</v>
      </c>
      <c r="K42">
        <v>22800000</v>
      </c>
      <c r="L42">
        <v>20880000</v>
      </c>
      <c r="M42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170700000</v>
      </c>
    </row>
    <row r="43" spans="1:13" x14ac:dyDescent="0.2">
      <c r="A43" s="1" t="s">
        <v>61</v>
      </c>
      <c r="B43" s="1" t="s">
        <v>22</v>
      </c>
      <c r="C43">
        <v>1980000</v>
      </c>
      <c r="D43">
        <v>4680000</v>
      </c>
      <c r="E43">
        <v>3660000</v>
      </c>
      <c r="F43">
        <v>1920000</v>
      </c>
      <c r="G43">
        <v>2760000</v>
      </c>
      <c r="H43">
        <v>2760000</v>
      </c>
      <c r="I43">
        <v>2280000</v>
      </c>
      <c r="J43">
        <v>2280000</v>
      </c>
      <c r="K43">
        <v>2700000</v>
      </c>
      <c r="L43">
        <v>2400000</v>
      </c>
      <c r="M43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27420000</v>
      </c>
    </row>
    <row r="44" spans="1:13" x14ac:dyDescent="0.2">
      <c r="A44" s="1" t="s">
        <v>62</v>
      </c>
      <c r="B44" s="1" t="s">
        <v>13</v>
      </c>
      <c r="C44">
        <v>2220000</v>
      </c>
      <c r="D44">
        <v>2160000</v>
      </c>
      <c r="E44">
        <v>2100000</v>
      </c>
      <c r="F44">
        <v>2220000</v>
      </c>
      <c r="G44">
        <v>2160000</v>
      </c>
      <c r="H44">
        <v>2160000</v>
      </c>
      <c r="I44">
        <v>2220000</v>
      </c>
      <c r="J44">
        <v>2220000</v>
      </c>
      <c r="K44">
        <v>2160000</v>
      </c>
      <c r="L44">
        <v>2160000</v>
      </c>
      <c r="M44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21780000</v>
      </c>
    </row>
    <row r="45" spans="1:13" x14ac:dyDescent="0.2">
      <c r="A45" s="1" t="s">
        <v>35</v>
      </c>
      <c r="B45" s="1" t="s">
        <v>17</v>
      </c>
      <c r="C45">
        <v>50760000</v>
      </c>
      <c r="D45">
        <v>38460000</v>
      </c>
      <c r="E45">
        <v>69060000</v>
      </c>
      <c r="F45">
        <v>48660000</v>
      </c>
      <c r="G45">
        <v>45180000</v>
      </c>
      <c r="H45">
        <v>55800000</v>
      </c>
      <c r="I45">
        <v>50760000</v>
      </c>
      <c r="J45">
        <v>46980000</v>
      </c>
      <c r="K45">
        <v>70500000</v>
      </c>
      <c r="L45">
        <v>55560000</v>
      </c>
      <c r="M45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531720000</v>
      </c>
    </row>
    <row r="46" spans="1:13" x14ac:dyDescent="0.2">
      <c r="A46" s="1" t="s">
        <v>63</v>
      </c>
      <c r="B46" s="1" t="s">
        <v>13</v>
      </c>
      <c r="C46">
        <v>49680000</v>
      </c>
      <c r="D46">
        <v>49860000</v>
      </c>
      <c r="E46">
        <v>36480000</v>
      </c>
      <c r="F46">
        <v>38280000</v>
      </c>
      <c r="G46">
        <v>50700000</v>
      </c>
      <c r="H46">
        <v>45720000</v>
      </c>
      <c r="I46">
        <v>32280000</v>
      </c>
      <c r="J46">
        <v>38280000</v>
      </c>
      <c r="K46">
        <v>28920000</v>
      </c>
      <c r="L46">
        <v>31020000</v>
      </c>
      <c r="M46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401220000</v>
      </c>
    </row>
    <row r="47" spans="1:13" x14ac:dyDescent="0.2">
      <c r="A47" s="1" t="s">
        <v>28</v>
      </c>
      <c r="B47" s="1" t="s">
        <v>15</v>
      </c>
      <c r="C47">
        <v>3600000</v>
      </c>
      <c r="D47">
        <v>2820000</v>
      </c>
      <c r="E47">
        <v>3660000</v>
      </c>
      <c r="F47">
        <v>4800000</v>
      </c>
      <c r="G47">
        <v>6660000</v>
      </c>
      <c r="H47">
        <v>3540000</v>
      </c>
      <c r="I47">
        <v>4920000</v>
      </c>
      <c r="J47">
        <v>3900000</v>
      </c>
      <c r="K47">
        <v>8340000</v>
      </c>
      <c r="L47">
        <v>6180000</v>
      </c>
      <c r="M47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48420000</v>
      </c>
    </row>
    <row r="48" spans="1:13" x14ac:dyDescent="0.2">
      <c r="A48" s="1" t="s">
        <v>64</v>
      </c>
      <c r="B48" s="1" t="s">
        <v>22</v>
      </c>
      <c r="C48">
        <v>9600000</v>
      </c>
      <c r="D48">
        <v>9600000</v>
      </c>
      <c r="E48">
        <v>5040000</v>
      </c>
      <c r="F48">
        <v>10320000</v>
      </c>
      <c r="G48">
        <v>8580000</v>
      </c>
      <c r="H48">
        <v>4860000</v>
      </c>
      <c r="I48">
        <v>1380000</v>
      </c>
      <c r="J48">
        <v>6900000</v>
      </c>
      <c r="K48">
        <v>3240000</v>
      </c>
      <c r="L48">
        <v>2460000</v>
      </c>
      <c r="M48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61980000</v>
      </c>
    </row>
    <row r="49" spans="1:13" x14ac:dyDescent="0.2">
      <c r="A49" s="1" t="s">
        <v>65</v>
      </c>
      <c r="B49" s="1" t="s">
        <v>22</v>
      </c>
      <c r="C49">
        <v>600000</v>
      </c>
      <c r="D49">
        <v>660000</v>
      </c>
      <c r="E49">
        <v>720000</v>
      </c>
      <c r="F49">
        <v>720000</v>
      </c>
      <c r="G49">
        <v>720000</v>
      </c>
      <c r="H49">
        <v>720000</v>
      </c>
      <c r="I49">
        <v>720000</v>
      </c>
      <c r="J49">
        <v>720000</v>
      </c>
      <c r="K49">
        <v>780000</v>
      </c>
      <c r="L49">
        <v>720000</v>
      </c>
      <c r="M49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7080000</v>
      </c>
    </row>
    <row r="50" spans="1:13" x14ac:dyDescent="0.2">
      <c r="A50" s="1" t="s">
        <v>66</v>
      </c>
      <c r="B50" s="1" t="s">
        <v>13</v>
      </c>
      <c r="C50">
        <v>196020000</v>
      </c>
      <c r="D50">
        <v>186900000</v>
      </c>
      <c r="E50">
        <v>234840000</v>
      </c>
      <c r="F50">
        <v>217980000</v>
      </c>
      <c r="G50">
        <v>224640000</v>
      </c>
      <c r="H50">
        <v>219000000</v>
      </c>
      <c r="I50">
        <v>297720000</v>
      </c>
      <c r="J50">
        <v>275820000</v>
      </c>
      <c r="K50">
        <v>282240000</v>
      </c>
      <c r="L50">
        <v>330540000</v>
      </c>
      <c r="M50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2465700000</v>
      </c>
    </row>
    <row r="51" spans="1:13" x14ac:dyDescent="0.2">
      <c r="A51" s="1" t="s">
        <v>67</v>
      </c>
      <c r="B51" s="1" t="s">
        <v>15</v>
      </c>
      <c r="C51">
        <v>72120000</v>
      </c>
      <c r="D51">
        <v>54120000</v>
      </c>
      <c r="E51">
        <v>57120000</v>
      </c>
      <c r="F51">
        <v>48240000</v>
      </c>
      <c r="G51">
        <v>39000000</v>
      </c>
      <c r="H51">
        <v>30000000</v>
      </c>
      <c r="I51">
        <v>31500000</v>
      </c>
      <c r="J51">
        <v>34320000</v>
      </c>
      <c r="K51">
        <v>34680000</v>
      </c>
      <c r="L51">
        <v>39000000</v>
      </c>
      <c r="M51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440100000</v>
      </c>
    </row>
    <row r="52" spans="1:13" x14ac:dyDescent="0.2">
      <c r="A52" s="1" t="s">
        <v>68</v>
      </c>
      <c r="B52" s="1" t="s">
        <v>13</v>
      </c>
      <c r="C52">
        <v>1200000000</v>
      </c>
      <c r="D52">
        <v>1590000000</v>
      </c>
      <c r="E52">
        <v>1404120000</v>
      </c>
      <c r="F52">
        <v>1656600000</v>
      </c>
      <c r="G52">
        <v>1634460000</v>
      </c>
      <c r="H52">
        <v>1865400000</v>
      </c>
      <c r="I52">
        <v>1669140000</v>
      </c>
      <c r="J52">
        <v>2005920000</v>
      </c>
      <c r="K52">
        <v>1816980000</v>
      </c>
      <c r="L52">
        <v>1829220000</v>
      </c>
      <c r="M52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16671840000</v>
      </c>
    </row>
    <row r="53" spans="1:13" x14ac:dyDescent="0.2">
      <c r="A53" s="1" t="s">
        <v>69</v>
      </c>
      <c r="B53" s="1" t="s">
        <v>15</v>
      </c>
      <c r="C53">
        <v>9660000</v>
      </c>
      <c r="D53">
        <v>11100000</v>
      </c>
      <c r="E53">
        <v>11280000</v>
      </c>
      <c r="F53">
        <v>11220000</v>
      </c>
      <c r="G53">
        <v>10680000</v>
      </c>
      <c r="H53">
        <v>9360000</v>
      </c>
      <c r="I53">
        <v>8580000</v>
      </c>
      <c r="J53">
        <v>7920000</v>
      </c>
      <c r="K53">
        <v>5160000</v>
      </c>
      <c r="L53">
        <v>5460000</v>
      </c>
      <c r="M53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90420000</v>
      </c>
    </row>
    <row r="54" spans="1:13" x14ac:dyDescent="0.2">
      <c r="A54" s="1" t="s">
        <v>36</v>
      </c>
      <c r="B54" s="1" t="s">
        <v>15</v>
      </c>
      <c r="C54">
        <v>780000</v>
      </c>
      <c r="D54">
        <v>660000</v>
      </c>
      <c r="E54">
        <v>300000</v>
      </c>
      <c r="F54">
        <v>660000</v>
      </c>
      <c r="G54">
        <v>180000</v>
      </c>
      <c r="H54">
        <v>240000</v>
      </c>
      <c r="I54">
        <v>780000</v>
      </c>
      <c r="J54">
        <v>1140000</v>
      </c>
      <c r="K54">
        <v>2040000</v>
      </c>
      <c r="L54">
        <v>900000</v>
      </c>
      <c r="M54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7680000</v>
      </c>
    </row>
    <row r="55" spans="1:13" x14ac:dyDescent="0.2">
      <c r="A55" s="1" t="s">
        <v>29</v>
      </c>
      <c r="B55" s="1" t="s">
        <v>15</v>
      </c>
      <c r="C55">
        <v>600000</v>
      </c>
      <c r="D55">
        <v>540000</v>
      </c>
      <c r="E55">
        <v>420000</v>
      </c>
      <c r="F55">
        <v>540000</v>
      </c>
      <c r="G55">
        <v>900000</v>
      </c>
      <c r="H55">
        <v>840000</v>
      </c>
      <c r="I55">
        <v>900000</v>
      </c>
      <c r="J55">
        <v>420000</v>
      </c>
      <c r="K55">
        <v>600000</v>
      </c>
      <c r="L55">
        <v>540000</v>
      </c>
      <c r="M55">
        <f>SUM(kava[[#This Row],[2010/11]]:kava[[#This Row],[2011/12]]:kava[[#This Row],[2012/13]]:kava[[#This Row],[2013/14]]:kava[[#This Row],[2014/15]]:kava[[#This Row],[2015/16]]:kava[[#This Row],[2016/17]]:kava[[#This Row],[2017/18]]:kava[[#This Row],[2018/19]]:kava[[#This Row],[2019/20]])</f>
        <v>6300000</v>
      </c>
    </row>
  </sheetData>
  <conditionalFormatting sqref="M2:M55">
    <cfRule type="aboveAverage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680F1C-6C87-1249-B8CC-09C03FF672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vrtilna tabela</vt:lpstr>
      <vt:lpstr>kava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Kmetič, Zala</dc:creator>
  <cp:lastModifiedBy>Kmetič, Zala</cp:lastModifiedBy>
  <dcterms:created xsi:type="dcterms:W3CDTF">2026-01-28T09:36:16Z</dcterms:created>
  <dcterms:modified xsi:type="dcterms:W3CDTF">2026-01-28T10:03:44Z</dcterms:modified>
</cp:coreProperties>
</file>