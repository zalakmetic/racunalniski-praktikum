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3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zalakmetic/Documents/fmf/1. letnik/1. semester/računalniški praktikum/racunalniski-praktikum/10-razpredelnice/"/>
    </mc:Choice>
  </mc:AlternateContent>
  <xr:revisionPtr revIDLastSave="0" documentId="13_ncr:1_{25888FCD-ECBC-FC42-97DE-B4B700B4EA99}" xr6:coauthVersionLast="47" xr6:coauthVersionMax="47" xr10:uidLastSave="{00000000-0000-0000-0000-000000000000}"/>
  <bookViews>
    <workbookView xWindow="15040" yWindow="680" windowWidth="14360" windowHeight="16660" xr2:uid="{00000000-000D-0000-FFFF-FFFF00000000}"/>
  </bookViews>
  <sheets>
    <sheet name="Poraba" sheetId="4" r:id="rId1"/>
  </sheets>
  <definedNames>
    <definedName name="ExternalData_1" localSheetId="0" hidden="1">Poraba!$B$2:$G$21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4" l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H19" i="4" s="1"/>
  <c r="G20" i="4"/>
  <c r="H20" i="4" s="1"/>
  <c r="G21" i="4"/>
  <c r="H21" i="4" s="1"/>
  <c r="H3" i="4"/>
  <c r="H5" i="4"/>
  <c r="H9" i="4"/>
  <c r="H15" i="4"/>
  <c r="G4" i="4"/>
  <c r="H4" i="4" s="1"/>
  <c r="F5" i="4"/>
  <c r="F6" i="4"/>
  <c r="H6" i="4" s="1"/>
  <c r="F7" i="4"/>
  <c r="H7" i="4" s="1"/>
  <c r="F8" i="4"/>
  <c r="H8" i="4" s="1"/>
  <c r="F9" i="4"/>
  <c r="F10" i="4"/>
  <c r="F11" i="4"/>
  <c r="F12" i="4"/>
  <c r="F13" i="4"/>
  <c r="F14" i="4"/>
  <c r="F15" i="4"/>
  <c r="F16" i="4"/>
  <c r="H16" i="4" s="1"/>
  <c r="F17" i="4"/>
  <c r="H17" i="4" s="1"/>
  <c r="F18" i="4"/>
  <c r="H18" i="4" s="1"/>
  <c r="F19" i="4"/>
  <c r="F20" i="4"/>
  <c r="F21" i="4"/>
  <c r="F4" i="4"/>
  <c r="H14" i="4" l="1"/>
  <c r="H12" i="4"/>
  <c r="H13" i="4"/>
  <c r="H11" i="4"/>
  <c r="H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D6C95C-D253-FC48-901C-EE7A0BEA25FD}" keepAlive="1" name="Query - realna-poraba-cupra" description="Connection to the 'realna-poraba-cupra' query in the workbook." type="5" refreshedVersion="8" background="1" saveData="1">
    <dbPr connection="Provider=Microsoft.Mashup.OleDb.1;Data Source=$Workbook$;Location=realna-poraba-cupra;Extended Properties=&quot;&quot;" command="SELECT * FROM [realna-poraba-cupra]"/>
  </connection>
  <connection id="2" xr16:uid="{823E546F-882E-9449-8E47-002173931B18}" keepAlive="1" name="Query - realna-poraba-cupra (2)" description="Connection to the 'realna-poraba-cupra (2)' query in the workbook." type="5" refreshedVersion="8" background="1" saveData="1">
    <dbPr connection="Provider=Microsoft.Mashup.OleDb.1;Data Source=$Workbook$;Location=&quot;realna-poraba-cupra (2)&quot;;Extended Properties=&quot;&quot;" command="SELECT * FROM [realna-poraba-cupra (2)]"/>
  </connection>
</connections>
</file>

<file path=xl/sharedStrings.xml><?xml version="1.0" encoding="utf-8"?>
<sst xmlns="http://schemas.openxmlformats.org/spreadsheetml/2006/main" count="10" uniqueCount="10">
  <si>
    <t>Bencin</t>
  </si>
  <si>
    <t>Veljavnost</t>
  </si>
  <si>
    <t>Datum</t>
  </si>
  <si>
    <t>Litri</t>
  </si>
  <si>
    <t/>
  </si>
  <si>
    <t>Števec</t>
  </si>
  <si>
    <t>Poraba</t>
  </si>
  <si>
    <t>Prevoženo</t>
  </si>
  <si>
    <t>Plačano</t>
  </si>
  <si>
    <t>Prikaz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</si>
</sst>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\ &quot;€/l&quot;"/>
    <numFmt numFmtId="166" formatCode=";;;"/>
  </numFmts>
  <fonts count="2" x14ac:knownFonts="1">
    <font>
      <sz val="11"/>
      <color theme="1"/>
      <name val="Calibri"/>
      <family val="2"/>
      <charset val="238"/>
      <scheme val="minor"/>
    </font>
    <font>
      <sz val="9.9"/>
      <color rgb="FF61616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3" fontId="0" fillId="0" borderId="0" xfId="0" applyNumberFormat="1"/>
    <xf numFmtId="2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0" fontId="0" fillId="0" borderId="0" xfId="0" quotePrefix="1"/>
    <xf numFmtId="16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66" formatCode=";;;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"/>
        <color rgb="FF616161"/>
        <name val="Arial"/>
        <family val="2"/>
        <scheme val="none"/>
      </font>
      <numFmt numFmtId="164" formatCode="0.000\ &quot;€/l&quot;"/>
      <fill>
        <patternFill patternType="solid">
          <fgColor rgb="FFEBF1DE"/>
          <bgColor rgb="FFEBF1DE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9BBB59"/>
        </left>
        <right/>
        <top style="thin">
          <color rgb="FF9BBB59"/>
        </top>
        <bottom style="thin">
          <color rgb="FF9BBB5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9"/>
        <color rgb="FF616161"/>
        <name val="Arial"/>
        <family val="2"/>
        <scheme val="none"/>
      </font>
      <numFmt numFmtId="165" formatCode="d/mm/yy"/>
      <fill>
        <patternFill patternType="solid">
          <fgColor rgb="FFEBF1DE"/>
          <bgColor rgb="FFEBF1DE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BB59"/>
        </top>
        <bottom style="thin">
          <color rgb="FF9BBB59"/>
        </bottom>
      </border>
    </dxf>
    <dxf>
      <border outline="0">
        <top style="thin">
          <color rgb="FF9BBB59"/>
        </top>
      </border>
    </dxf>
    <dxf>
      <border outline="0">
        <left style="thin">
          <color rgb="FF9BBB59"/>
        </left>
        <right style="thin">
          <color rgb="FF9BBB59"/>
        </right>
        <top style="thin">
          <color rgb="FF9BBB59"/>
        </top>
        <bottom style="thin">
          <color rgb="FF9BBB59"/>
        </bottom>
      </border>
    </dxf>
    <dxf>
      <border outline="0">
        <bottom style="medium">
          <color rgb="FF9BBB59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5" formatCode="d/mm/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8864778-F620-4D44-B290-593D022A2D1C}" autoFormatId="16" applyNumberFormats="0" applyBorderFormats="0" applyFontFormats="0" applyPatternFormats="0" applyAlignmentFormats="0" applyWidthHeightFormats="0">
  <queryTableRefresh nextId="13" unboundColumnsRight="1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11" dataBound="0" tableColumnId="11"/>
    </queryTableFields>
    <queryTableDeletedFields count="2">
      <deletedField name="Column7"/>
      <deletedField name="Column8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308AD5-65CF-A249-80D4-A2A1301BDB4E}" name="realna_poraba_cupra__2" displayName="realna_poraba_cupra__2" ref="B2:H21" tableType="queryTable" totalsRowShown="0">
  <autoFilter ref="B2:H21" xr:uid="{4B308AD5-65CF-A249-80D4-A2A1301BDB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4C5B71E-FC31-5C41-A064-103F27749A97}" uniqueName="1" name="Datum" queryTableFieldId="1" dataDxfId="11"/>
    <tableColumn id="2" xr3:uid="{6DC2697C-FCB3-8A47-945B-8CD05834AA8C}" uniqueName="2" name="Litri" queryTableFieldId="2" dataDxfId="10"/>
    <tableColumn id="3" xr3:uid="{19DBC541-3ADF-4E48-8786-6E42DA219788}" uniqueName="3" name="Plačano" queryTableFieldId="3" dataDxfId="9"/>
    <tableColumn id="4" xr3:uid="{3238A9AD-2FC0-0E49-9EE3-7019C05B366B}" uniqueName="4" name="Števec" queryTableFieldId="4" dataDxfId="8"/>
    <tableColumn id="5" xr3:uid="{E0B5480D-9C8F-CA4C-941D-AE9FDE0CDFDC}" uniqueName="5" name="Prevoženo" queryTableFieldId="5" dataDxfId="7"/>
    <tableColumn id="6" xr3:uid="{1DEAFC6B-8470-6742-BAB3-957B7429D133}" uniqueName="6" name="Poraba" queryTableFieldId="6" dataDxfId="6"/>
    <tableColumn id="11" xr3:uid="{911769A8-5CFE-8245-A64B-38797D90A3B5}" uniqueName="11" name="Prikaz" queryTableFieldId="11" dataDxfId="0">
      <calculatedColumnFormula>realna_poraba_cupra__2[[#This Row],[Poraba]]</calculatedColumnFormula>
    </tableColumn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D6AF57-84FE-3944-82AB-DB7DC1C050CB}" name="Table3" displayName="Table3" ref="J2:K25" totalsRowShown="0" headerRowBorderDxfId="5" tableBorderDxfId="4" totalsRowBorderDxfId="3">
  <autoFilter ref="J2:K25" xr:uid="{E8D6AF57-84FE-3944-82AB-DB7DC1C050CB}"/>
  <sortState xmlns:xlrd2="http://schemas.microsoft.com/office/spreadsheetml/2017/richdata2" ref="J3:K25">
    <sortCondition ref="J2:J25"/>
  </sortState>
  <tableColumns count="2">
    <tableColumn id="1" xr3:uid="{0C7E1327-9FA7-3E43-8151-18CCECA1E09D}" name="Veljavnost" dataDxfId="2"/>
    <tableColumn id="2" xr3:uid="{079EA12A-47EB-F54A-8E37-30D8BCE75150}" name="Bencin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ECC9D-4E93-D44D-AE31-BECED325B0FB}">
  <dimension ref="B2:K29"/>
  <sheetViews>
    <sheetView tabSelected="1" topLeftCell="B1" zoomScale="120" zoomScaleNormal="120" workbookViewId="0">
      <selection activeCell="F26" sqref="F26"/>
    </sheetView>
  </sheetViews>
  <sheetFormatPr baseColWidth="10" defaultRowHeight="15" x14ac:dyDescent="0.2"/>
  <cols>
    <col min="1" max="1" width="3.83203125" customWidth="1"/>
    <col min="2" max="2" width="8.83203125" bestFit="1" customWidth="1"/>
    <col min="3" max="3" width="6.83203125" bestFit="1" customWidth="1"/>
    <col min="4" max="4" width="9.6640625" bestFit="1" customWidth="1"/>
    <col min="5" max="5" width="8.6640625" bestFit="1" customWidth="1"/>
    <col min="6" max="6" width="11.6640625" bestFit="1" customWidth="1"/>
    <col min="7" max="7" width="10.6640625" bestFit="1" customWidth="1"/>
    <col min="8" max="8" width="16.1640625" customWidth="1"/>
    <col min="9" max="9" width="3.33203125" customWidth="1"/>
    <col min="10" max="10" width="11.83203125" bestFit="1" customWidth="1"/>
    <col min="11" max="11" width="10.6640625" bestFit="1" customWidth="1"/>
  </cols>
  <sheetData>
    <row r="2" spans="2:11" x14ac:dyDescent="0.2">
      <c r="B2" t="s">
        <v>2</v>
      </c>
      <c r="C2" t="s">
        <v>3</v>
      </c>
      <c r="D2" t="s">
        <v>8</v>
      </c>
      <c r="E2" t="s">
        <v>5</v>
      </c>
      <c r="F2" t="s">
        <v>7</v>
      </c>
      <c r="G2" t="s">
        <v>6</v>
      </c>
      <c r="H2" s="8" t="s">
        <v>9</v>
      </c>
      <c r="J2" t="s">
        <v>1</v>
      </c>
      <c r="K2" t="s">
        <v>0</v>
      </c>
    </row>
    <row r="3" spans="2:11" x14ac:dyDescent="0.2">
      <c r="B3" s="1">
        <v>45051</v>
      </c>
      <c r="C3" s="3">
        <v>41.17</v>
      </c>
      <c r="D3" s="6"/>
      <c r="E3" s="2">
        <v>41907</v>
      </c>
      <c r="F3" s="2"/>
      <c r="G3" t="s">
        <v>4</v>
      </c>
      <c r="H3" s="7" t="str">
        <f>realna_poraba_cupra__2[[#This Row],[Poraba]]</f>
        <v/>
      </c>
      <c r="J3" s="1">
        <v>44930</v>
      </c>
      <c r="K3" s="4">
        <v>1.276</v>
      </c>
    </row>
    <row r="4" spans="2:11" x14ac:dyDescent="0.2">
      <c r="B4" s="1">
        <v>45059</v>
      </c>
      <c r="C4" s="3">
        <v>43.02</v>
      </c>
      <c r="E4" s="2">
        <v>42521</v>
      </c>
      <c r="F4" s="2">
        <f>E4 - E3</f>
        <v>614</v>
      </c>
      <c r="G4" s="3">
        <f xml:space="preserve"> realna_poraba_cupra__2[[#This Row],[Litri]] / realna_poraba_cupra__2[[#This Row],[Prevoženo]] * 100</f>
        <v>7.006514657980456</v>
      </c>
      <c r="H4" s="7">
        <f>realna_poraba_cupra__2[[#This Row],[Poraba]]</f>
        <v>7.006514657980456</v>
      </c>
      <c r="J4" s="1">
        <v>44943</v>
      </c>
      <c r="K4" s="4">
        <v>1.288</v>
      </c>
    </row>
    <row r="5" spans="2:11" x14ac:dyDescent="0.2">
      <c r="B5" s="1">
        <v>45068</v>
      </c>
      <c r="C5" s="3">
        <v>41.67</v>
      </c>
      <c r="E5" s="2">
        <v>43181</v>
      </c>
      <c r="F5" s="2">
        <f t="shared" ref="F5:F21" si="0">E5 - E4</f>
        <v>660</v>
      </c>
      <c r="G5" s="3">
        <f xml:space="preserve"> realna_poraba_cupra__2[[#This Row],[Litri]] / realna_poraba_cupra__2[[#This Row],[Prevoženo]] * 100</f>
        <v>6.3136363636363644</v>
      </c>
      <c r="H5" s="7">
        <f>realna_poraba_cupra__2[[#This Row],[Poraba]]</f>
        <v>6.3136363636363644</v>
      </c>
      <c r="J5" s="1">
        <v>44957</v>
      </c>
      <c r="K5" s="4">
        <v>1.355</v>
      </c>
    </row>
    <row r="6" spans="2:11" x14ac:dyDescent="0.2">
      <c r="B6" s="1">
        <v>45073</v>
      </c>
      <c r="C6" s="3">
        <v>34.04</v>
      </c>
      <c r="E6" s="2">
        <v>43696</v>
      </c>
      <c r="F6" s="2">
        <f t="shared" si="0"/>
        <v>515</v>
      </c>
      <c r="G6" s="3">
        <f xml:space="preserve"> realna_poraba_cupra__2[[#This Row],[Litri]] / realna_poraba_cupra__2[[#This Row],[Prevoženo]] * 100</f>
        <v>6.6097087378640769</v>
      </c>
      <c r="H6" s="7">
        <f>realna_poraba_cupra__2[[#This Row],[Poraba]]</f>
        <v>6.6097087378640769</v>
      </c>
      <c r="J6" s="1">
        <v>44971</v>
      </c>
      <c r="K6" s="4">
        <v>1.355</v>
      </c>
    </row>
    <row r="7" spans="2:11" x14ac:dyDescent="0.2">
      <c r="B7" s="1">
        <v>45085</v>
      </c>
      <c r="C7" s="3">
        <v>42.42</v>
      </c>
      <c r="E7" s="2">
        <v>44314</v>
      </c>
      <c r="F7" s="2">
        <f t="shared" si="0"/>
        <v>618</v>
      </c>
      <c r="G7" s="3">
        <f xml:space="preserve"> realna_poraba_cupra__2[[#This Row],[Litri]] / realna_poraba_cupra__2[[#This Row],[Prevoženo]] * 100</f>
        <v>6.8640776699029127</v>
      </c>
      <c r="H7" s="7">
        <f>realna_poraba_cupra__2[[#This Row],[Poraba]]</f>
        <v>6.8640776699029127</v>
      </c>
      <c r="J7" s="1">
        <v>44985</v>
      </c>
      <c r="K7" s="4">
        <v>1.359</v>
      </c>
    </row>
    <row r="8" spans="2:11" x14ac:dyDescent="0.2">
      <c r="B8" s="1">
        <v>45093</v>
      </c>
      <c r="C8" s="3">
        <v>43.1</v>
      </c>
      <c r="E8" s="2">
        <v>44997</v>
      </c>
      <c r="F8" s="2">
        <f t="shared" si="0"/>
        <v>683</v>
      </c>
      <c r="G8" s="3">
        <f xml:space="preserve"> realna_poraba_cupra__2[[#This Row],[Litri]] / realna_poraba_cupra__2[[#This Row],[Prevoženo]] * 100</f>
        <v>6.3103953147877023</v>
      </c>
      <c r="H8" s="7">
        <f>realna_poraba_cupra__2[[#This Row],[Poraba]]</f>
        <v>6.3103953147877023</v>
      </c>
      <c r="J8" s="1">
        <v>44999</v>
      </c>
      <c r="K8" s="4">
        <v>1.3740000000000001</v>
      </c>
    </row>
    <row r="9" spans="2:11" x14ac:dyDescent="0.2">
      <c r="B9" s="1">
        <v>45099</v>
      </c>
      <c r="C9" s="3">
        <v>38.18</v>
      </c>
      <c r="E9" s="2">
        <v>45546</v>
      </c>
      <c r="F9" s="2">
        <f t="shared" si="0"/>
        <v>549</v>
      </c>
      <c r="G9" s="3">
        <f xml:space="preserve"> realna_poraba_cupra__2[[#This Row],[Litri]] / realna_poraba_cupra__2[[#This Row],[Prevoženo]] * 100</f>
        <v>6.9544626593806917</v>
      </c>
      <c r="H9" s="7">
        <f>realna_poraba_cupra__2[[#This Row],[Poraba]]</f>
        <v>6.9544626593806917</v>
      </c>
      <c r="J9" s="1">
        <v>45013</v>
      </c>
      <c r="K9" s="4">
        <v>1.3740000000000001</v>
      </c>
    </row>
    <row r="10" spans="2:11" x14ac:dyDescent="0.2">
      <c r="B10" s="1">
        <v>45113</v>
      </c>
      <c r="C10" s="3">
        <v>40.659999999999997</v>
      </c>
      <c r="E10" s="2">
        <v>46126</v>
      </c>
      <c r="F10" s="2">
        <f t="shared" si="0"/>
        <v>580</v>
      </c>
      <c r="G10" s="3">
        <f xml:space="preserve"> realna_poraba_cupra__2[[#This Row],[Litri]] / realna_poraba_cupra__2[[#This Row],[Prevoženo]] * 100</f>
        <v>7.0103448275862066</v>
      </c>
      <c r="H10" s="7">
        <f>realna_poraba_cupra__2[[#This Row],[Poraba]]</f>
        <v>7.0103448275862066</v>
      </c>
      <c r="J10" s="1">
        <v>45028</v>
      </c>
      <c r="K10" s="4">
        <v>1.4159999999999999</v>
      </c>
    </row>
    <row r="11" spans="2:11" x14ac:dyDescent="0.2">
      <c r="B11" s="1">
        <v>45122</v>
      </c>
      <c r="C11" s="3">
        <v>39.17</v>
      </c>
      <c r="E11" s="2">
        <v>46687</v>
      </c>
      <c r="F11" s="2">
        <f t="shared" si="0"/>
        <v>561</v>
      </c>
      <c r="G11" s="3">
        <f xml:space="preserve"> realna_poraba_cupra__2[[#This Row],[Litri]] / realna_poraba_cupra__2[[#This Row],[Prevoženo]] * 100</f>
        <v>6.9821746880570412</v>
      </c>
      <c r="H11" s="7">
        <f>realna_poraba_cupra__2[[#This Row],[Poraba]]</f>
        <v>6.9821746880570412</v>
      </c>
      <c r="J11" s="1">
        <v>45041</v>
      </c>
      <c r="K11" s="4">
        <v>1.4159999999999999</v>
      </c>
    </row>
    <row r="12" spans="2:11" x14ac:dyDescent="0.2">
      <c r="B12" s="1">
        <v>45129</v>
      </c>
      <c r="C12" s="3">
        <v>40.29</v>
      </c>
      <c r="E12" s="2">
        <v>47250</v>
      </c>
      <c r="F12" s="2">
        <f t="shared" si="0"/>
        <v>563</v>
      </c>
      <c r="G12" s="3">
        <f xml:space="preserve"> realna_poraba_cupra__2[[#This Row],[Litri]] / realna_poraba_cupra__2[[#This Row],[Prevoženo]] * 100</f>
        <v>7.1563055062166967</v>
      </c>
      <c r="H12" s="7">
        <f>realna_poraba_cupra__2[[#This Row],[Poraba]]</f>
        <v>7.1563055062166967</v>
      </c>
      <c r="J12" s="1">
        <v>45055</v>
      </c>
      <c r="K12" s="4">
        <v>1.39</v>
      </c>
    </row>
    <row r="13" spans="2:11" x14ac:dyDescent="0.2">
      <c r="B13" s="1">
        <v>45138</v>
      </c>
      <c r="C13" s="3">
        <v>41.01</v>
      </c>
      <c r="E13" s="2">
        <v>47867</v>
      </c>
      <c r="F13" s="2">
        <f t="shared" si="0"/>
        <v>617</v>
      </c>
      <c r="G13" s="3">
        <f xml:space="preserve"> realna_poraba_cupra__2[[#This Row],[Litri]] / realna_poraba_cupra__2[[#This Row],[Prevoženo]] * 100</f>
        <v>6.6466774716369521</v>
      </c>
      <c r="H13" s="7">
        <f>realna_poraba_cupra__2[[#This Row],[Poraba]]</f>
        <v>6.6466774716369521</v>
      </c>
      <c r="J13" s="1">
        <v>45069</v>
      </c>
      <c r="K13" s="4">
        <v>1.3819999999999999</v>
      </c>
    </row>
    <row r="14" spans="2:11" x14ac:dyDescent="0.2">
      <c r="B14" s="1">
        <v>45151</v>
      </c>
      <c r="C14" s="3">
        <v>37.18</v>
      </c>
      <c r="E14" s="2">
        <v>48407</v>
      </c>
      <c r="F14" s="2">
        <f t="shared" si="0"/>
        <v>540</v>
      </c>
      <c r="G14" s="3">
        <f xml:space="preserve"> realna_poraba_cupra__2[[#This Row],[Litri]] / realna_poraba_cupra__2[[#This Row],[Prevoženo]] * 100</f>
        <v>6.8851851851851844</v>
      </c>
      <c r="H14" s="7">
        <f>realna_poraba_cupra__2[[#This Row],[Poraba]]</f>
        <v>6.8851851851851844</v>
      </c>
      <c r="J14" s="1">
        <v>45083</v>
      </c>
      <c r="K14" s="4">
        <v>1.4119999999999999</v>
      </c>
    </row>
    <row r="15" spans="2:11" x14ac:dyDescent="0.2">
      <c r="B15" s="1">
        <v>45163</v>
      </c>
      <c r="C15" s="3">
        <v>41.46</v>
      </c>
      <c r="E15" s="2">
        <v>49005</v>
      </c>
      <c r="F15" s="2">
        <f t="shared" si="0"/>
        <v>598</v>
      </c>
      <c r="G15" s="3">
        <f xml:space="preserve"> realna_poraba_cupra__2[[#This Row],[Litri]] / realna_poraba_cupra__2[[#This Row],[Prevoženo]] * 100</f>
        <v>6.9331103678929766</v>
      </c>
      <c r="H15" s="7">
        <f>realna_poraba_cupra__2[[#This Row],[Poraba]]</f>
        <v>6.9331103678929766</v>
      </c>
      <c r="J15" s="1">
        <v>45097</v>
      </c>
      <c r="K15" s="4">
        <v>1.4239999999999999</v>
      </c>
    </row>
    <row r="16" spans="2:11" x14ac:dyDescent="0.2">
      <c r="B16" s="1">
        <v>45175</v>
      </c>
      <c r="C16" s="3">
        <v>35.97</v>
      </c>
      <c r="E16" s="2">
        <v>49480</v>
      </c>
      <c r="F16" s="2">
        <f t="shared" si="0"/>
        <v>475</v>
      </c>
      <c r="G16" s="3">
        <f xml:space="preserve"> realna_poraba_cupra__2[[#This Row],[Litri]] / realna_poraba_cupra__2[[#This Row],[Prevoženo]] * 100</f>
        <v>7.5726315789473686</v>
      </c>
      <c r="H16" s="7">
        <f>realna_poraba_cupra__2[[#This Row],[Poraba]]</f>
        <v>7.5726315789473686</v>
      </c>
      <c r="J16" s="1">
        <v>45111</v>
      </c>
      <c r="K16" s="4">
        <v>1.444</v>
      </c>
    </row>
    <row r="17" spans="2:11" x14ac:dyDescent="0.2">
      <c r="B17" s="1">
        <v>45184</v>
      </c>
      <c r="C17" s="3">
        <v>38.74</v>
      </c>
      <c r="E17" s="2">
        <v>50012</v>
      </c>
      <c r="F17" s="2">
        <f t="shared" si="0"/>
        <v>532</v>
      </c>
      <c r="G17" s="3">
        <f xml:space="preserve"> realna_poraba_cupra__2[[#This Row],[Litri]] / realna_poraba_cupra__2[[#This Row],[Prevoženo]] * 100</f>
        <v>7.2819548872180455</v>
      </c>
      <c r="H17" s="7">
        <f>realna_poraba_cupra__2[[#This Row],[Poraba]]</f>
        <v>7.2819548872180455</v>
      </c>
      <c r="J17" s="1">
        <v>45125</v>
      </c>
      <c r="K17" s="4">
        <v>1.456</v>
      </c>
    </row>
    <row r="18" spans="2:11" x14ac:dyDescent="0.2">
      <c r="B18" s="1">
        <v>45191</v>
      </c>
      <c r="C18" s="3">
        <v>36.130000000000003</v>
      </c>
      <c r="E18" s="2">
        <v>50458</v>
      </c>
      <c r="F18" s="2">
        <f t="shared" si="0"/>
        <v>446</v>
      </c>
      <c r="G18" s="3">
        <f xml:space="preserve"> realna_poraba_cupra__2[[#This Row],[Litri]] / realna_poraba_cupra__2[[#This Row],[Prevoženo]] * 100</f>
        <v>8.1008968609865484</v>
      </c>
      <c r="H18" s="7">
        <f>realna_poraba_cupra__2[[#This Row],[Poraba]]</f>
        <v>8.1008968609865484</v>
      </c>
      <c r="J18" s="1">
        <v>45139</v>
      </c>
      <c r="K18" s="4">
        <v>1.5109999999999999</v>
      </c>
    </row>
    <row r="19" spans="2:11" x14ac:dyDescent="0.2">
      <c r="B19" s="1">
        <v>45198</v>
      </c>
      <c r="C19" s="3">
        <v>38.51</v>
      </c>
      <c r="E19" s="2">
        <v>50991</v>
      </c>
      <c r="F19" s="2">
        <f t="shared" si="0"/>
        <v>533</v>
      </c>
      <c r="G19" s="3">
        <f xml:space="preserve"> realna_poraba_cupra__2[[#This Row],[Litri]] / realna_poraba_cupra__2[[#This Row],[Prevoženo]] * 100</f>
        <v>7.2251407129455911</v>
      </c>
      <c r="H19" s="7">
        <f>realna_poraba_cupra__2[[#This Row],[Poraba]]</f>
        <v>7.2251407129455911</v>
      </c>
      <c r="J19" s="1">
        <v>45155</v>
      </c>
      <c r="K19" s="4">
        <v>1.5109999999999999</v>
      </c>
    </row>
    <row r="20" spans="2:11" x14ac:dyDescent="0.2">
      <c r="B20" s="1">
        <v>45205</v>
      </c>
      <c r="C20" s="3">
        <v>38.840000000000003</v>
      </c>
      <c r="E20" s="2">
        <v>51593</v>
      </c>
      <c r="F20" s="2">
        <f t="shared" si="0"/>
        <v>602</v>
      </c>
      <c r="G20" s="3">
        <f xml:space="preserve"> realna_poraba_cupra__2[[#This Row],[Litri]] / realna_poraba_cupra__2[[#This Row],[Prevoženo]] * 100</f>
        <v>6.4518272425249172</v>
      </c>
      <c r="H20" s="7">
        <f>realna_poraba_cupra__2[[#This Row],[Poraba]]</f>
        <v>6.4518272425249172</v>
      </c>
      <c r="J20" s="1">
        <v>45167</v>
      </c>
      <c r="K20" s="4">
        <v>1.544</v>
      </c>
    </row>
    <row r="21" spans="2:11" x14ac:dyDescent="0.2">
      <c r="B21" s="1">
        <v>45213</v>
      </c>
      <c r="C21" s="3">
        <v>41.73</v>
      </c>
      <c r="E21" s="2">
        <v>52176</v>
      </c>
      <c r="F21" s="2">
        <f t="shared" si="0"/>
        <v>583</v>
      </c>
      <c r="G21" s="3">
        <f xml:space="preserve"> realna_poraba_cupra__2[[#This Row],[Litri]] / realna_poraba_cupra__2[[#This Row],[Prevoženo]] * 100</f>
        <v>7.1578044596912509</v>
      </c>
      <c r="H21" s="7">
        <f>realna_poraba_cupra__2[[#This Row],[Poraba]]</f>
        <v>7.1578044596912509</v>
      </c>
      <c r="J21" s="1">
        <v>45181</v>
      </c>
      <c r="K21" s="4">
        <v>1.5509999999999999</v>
      </c>
    </row>
    <row r="22" spans="2:11" x14ac:dyDescent="0.2">
      <c r="J22" s="1">
        <v>45195</v>
      </c>
      <c r="K22" s="4">
        <v>1.5880000000000001</v>
      </c>
    </row>
    <row r="23" spans="2:11" x14ac:dyDescent="0.2">
      <c r="J23" s="1">
        <v>45209</v>
      </c>
      <c r="K23" s="4">
        <v>1.536</v>
      </c>
    </row>
    <row r="24" spans="2:11" x14ac:dyDescent="0.2">
      <c r="J24" s="1">
        <v>45223</v>
      </c>
      <c r="K24" s="4">
        <v>1.536</v>
      </c>
    </row>
    <row r="25" spans="2:11" x14ac:dyDescent="0.2">
      <c r="J25" s="1">
        <v>45237</v>
      </c>
      <c r="K25" s="4">
        <v>1.534</v>
      </c>
    </row>
    <row r="26" spans="2:11" x14ac:dyDescent="0.2">
      <c r="D26" s="5"/>
      <c r="E26" s="5"/>
    </row>
    <row r="27" spans="2:11" x14ac:dyDescent="0.2">
      <c r="D27" s="5"/>
      <c r="E27" s="5"/>
    </row>
    <row r="28" spans="2:11" x14ac:dyDescent="0.2">
      <c r="D28" s="5"/>
      <c r="E28" s="5"/>
    </row>
    <row r="29" spans="2:11" x14ac:dyDescent="0.2">
      <c r="D29" s="5"/>
      <c r="E29" s="5"/>
    </row>
  </sheetData>
  <conditionalFormatting sqref="H2:H2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{307261EF-FE85-E548-BB51-826D8359894C}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{E74FAF4E-C910-DC4B-89F8-B90390AA2641}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7261EF-FE85-E548-BB51-826D8359894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E74FAF4E-C910-DC4B-89F8-B90390AA26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2D7D3-3902-A54A-97D2-DC6D0F0B49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Poraba</vt:lpstr>
    </vt:vector>
  </TitlesOfParts>
  <Company>FMF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Matjaž Zaveršnik</dc:creator>
  <cp:lastModifiedBy>Kmetič, Zala</cp:lastModifiedBy>
  <dcterms:created xsi:type="dcterms:W3CDTF">2007-10-01T06:54:22Z</dcterms:created>
  <dcterms:modified xsi:type="dcterms:W3CDTF">2025-12-10T15:40:57Z</dcterms:modified>
</cp:coreProperties>
</file>