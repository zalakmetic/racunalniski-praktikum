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zalakmetic/Documents/fmf/1. letnik/1. semester/računalniški praktikum/racunalniski-praktikum/10-razpredelnice/"/>
    </mc:Choice>
  </mc:AlternateContent>
  <xr:revisionPtr revIDLastSave="0" documentId="13_ncr:1_{FDD4A1EC-9202-8B4F-A8AF-C005B2D24D4F}" xr6:coauthVersionLast="47" xr6:coauthVersionMax="47" xr10:uidLastSave="{00000000-0000-0000-0000-000000000000}"/>
  <bookViews>
    <workbookView xWindow="13980" yWindow="680" windowWidth="15420" windowHeight="15720" activeTab="1" xr2:uid="{00000000-000D-0000-FFFF-FFFF00000000}"/>
  </bookViews>
  <sheets>
    <sheet name="Sheet1" sheetId="2" r:id="rId1"/>
    <sheet name="Rezultati" sheetId="1" r:id="rId2"/>
  </sheets>
  <definedNames>
    <definedName name="_xlchart.v2.0" hidden="1">'Rezultati'!$H$3:$H$5</definedName>
    <definedName name="_xlchart.v2.1" hidden="1">'Rezultati'!$J$3:$J$5</definedName>
    <definedName name="_xlchart.v2.2" hidden="1">'Rezultati'!$K$3:$K$5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<sst xmlns="http://schemas.openxmlformats.org/spreadsheetml/2006/main" count="105" uniqueCount="72">
  <si>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</si>
  <si>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</si>
  <si>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</si>
  <si>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</si>
  <si>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</si>
  <si>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</si>
  <si>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</si>
  <si>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</si>
  <si>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</si>
  <si>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</si>
  <si>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</si>
  <si>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</si>
  <si>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</si>
  <si>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</si>
  <si>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</si>
  <si>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</si>
  <si>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</si>
  <si>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</si>
  <si>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</si>
  <si>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</si>
  <si>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</si>
  <si>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</si>
  <si>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</si>
  <si>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</si>
  <si>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</si>
  <si>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</si>
  <si>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</si>
  <si>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</si>
  <si>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</si>
  <si>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</si>
  <si>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</si>
  <si>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</si>
  <si>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</si>
  <si>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</si>
  <si>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</si>
  <si>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</si>
  <si>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</si>
  <si>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</si>
  <si>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</si>
  <si>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</si>
  <si>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</si>
  <si>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</si>
  <si>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</si>
  <si>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</si>
  <si>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</si>
  <si>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</si>
  <si>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</si>
  <si>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</si>
  <si>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</si>
  <si>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</si>
  <si>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</si>
  <si>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</si>
  <si>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</si>
  <si>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</si>
  <si>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</si>
  <si>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</si>
  <si>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</si>
  <si>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</si>
  <si>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</si>
  <si>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</si>
  <si>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</si>
  <si>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</si>
  <si>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</si>
  <si>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</si>
  <si>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</si>
  <si>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</si>
  <si>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Row Labels</t>
  </si>
  <si>
    <t>Grand Total</t>
  </si>
  <si>
    <t>Count of Točke</t>
  </si>
  <si>
    <t>Min. of Točke</t>
  </si>
  <si>
    <t>Max. of Točke</t>
  </si>
  <si>
    <t>Average of Točke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</si>
</sst>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25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C5-EC47-99DF-577133640B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5-EC47-99DF-577133640B7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C5-EC47-99DF-577133640B7E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5-EC47-99DF-577133640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Točke</a:t>
            </a:r>
            <a:r>
              <a:rPr lang="en-GB" baseline="0"/>
              <a:t> za posamezno skupino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1-B541-A431-12010F77FEC3}"/>
            </c:ext>
          </c:extLst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1-B541-A431-12010F77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063616"/>
        <c:axId val="1228588352"/>
      </c:barChart>
      <c:catAx>
        <c:axId val="122806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28588352"/>
        <c:crosses val="autoZero"/>
        <c:auto val="1"/>
        <c:lblAlgn val="ctr"/>
        <c:lblOffset val="100"/>
        <c:noMultiLvlLbl val="0"/>
      </c:catAx>
      <c:valAx>
        <c:axId val="122858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2806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20</xdr:row>
      <xdr:rowOff>133350</xdr:rowOff>
    </xdr:from>
    <xdr:to>
      <xdr:col>15</xdr:col>
      <xdr:colOff>628650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DEDB3-EC2D-A850-562E-810D44563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165100</xdr:colOff>
      <xdr:row>3</xdr:row>
      <xdr:rowOff>165100</xdr:rowOff>
    </xdr:from>
    <xdr:to>
      <xdr:col>18</xdr:col>
      <xdr:colOff>114300</xdr:colOff>
      <xdr:row>18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D8942A-7C2E-1722-8364-4C19AF12E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la Kmetič" refreshedDate="45999.699888194446" createdVersion="8" refreshedVersion="8" minRefreshableVersion="3" recordCount="28" xr:uid="{C7B5F66C-D8D9-5947-901D-C72A3D0BBD91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D9571-340B-0749-AB6D-86CAB14F822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očke" fld="3" subtotal="count" baseField="0" baseItem="0"/>
    <dataField name="Average of Točke" fld="3" subtotal="average" baseField="0" baseItem="0"/>
    <dataField name="Min. of Točke" fld="3" subtotal="min" baseField="0" baseItem="0"/>
    <dataField name="Max. of Točke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3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IF(E3&gt;=50, 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5">
      <calculatedColumnFormula>COUNTIF($D$3:$D$30, H3)</calculatedColumnFormula>
    </tableColumn>
    <tableColumn id="3" xr3:uid="{49F9352C-9597-4E44-8122-AF1CE6CE856F}" name="2022" dataDxfId="4">
      <calculatedColumnFormula>AVERAGEIF($D$3:$D$30, H3, $E$3:$E$30)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C5E5-0AF9-0A44-9A4E-14077B55B70C}">
  <dimension ref="A3:E7"/>
  <sheetViews>
    <sheetView topLeftCell="A2"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2.6640625" bestFit="1" customWidth="1"/>
    <col min="3" max="3" width="14.33203125" bestFit="1" customWidth="1"/>
    <col min="4" max="4" width="11.5" bestFit="1" customWidth="1"/>
    <col min="5" max="5" width="11.83203125" bestFit="1" customWidth="1"/>
  </cols>
  <sheetData>
    <row r="3" spans="1:5" x14ac:dyDescent="0.2">
      <c r="A3" s="2" t="s">
        <v>66</v>
      </c>
      <c r="B3" t="s">
        <v>68</v>
      </c>
      <c r="C3" t="s">
        <v>71</v>
      </c>
      <c r="D3" t="s">
        <v>69</v>
      </c>
      <c r="E3" t="s">
        <v>70</v>
      </c>
    </row>
    <row r="4" spans="1:5" x14ac:dyDescent="0.2">
      <c r="A4" s="3" t="s">
        <v>9</v>
      </c>
      <c r="B4" s="4">
        <v>9</v>
      </c>
      <c r="C4" s="4">
        <v>58.222222222222221</v>
      </c>
      <c r="D4" s="4">
        <v>34</v>
      </c>
      <c r="E4" s="4">
        <v>94</v>
      </c>
    </row>
    <row r="5" spans="1:5" x14ac:dyDescent="0.2">
      <c r="A5" s="3" t="s">
        <v>12</v>
      </c>
      <c r="B5" s="4">
        <v>12</v>
      </c>
      <c r="C5" s="4">
        <v>66.5</v>
      </c>
      <c r="D5" s="4">
        <v>36</v>
      </c>
      <c r="E5" s="4">
        <v>100</v>
      </c>
    </row>
    <row r="6" spans="1:5" x14ac:dyDescent="0.2">
      <c r="A6" s="3" t="s">
        <v>15</v>
      </c>
      <c r="B6" s="4">
        <v>7</v>
      </c>
      <c r="C6" s="4">
        <v>47.714285714285715</v>
      </c>
      <c r="D6" s="4">
        <v>26</v>
      </c>
      <c r="E6" s="4">
        <v>76</v>
      </c>
    </row>
    <row r="7" spans="1:5" x14ac:dyDescent="0.2">
      <c r="A7" s="3" t="s">
        <v>67</v>
      </c>
      <c r="B7" s="4">
        <v>28</v>
      </c>
      <c r="C7" s="4">
        <v>59.142857142857146</v>
      </c>
      <c r="D7" s="4">
        <v>26</v>
      </c>
      <c r="E7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0"/>
  <sheetViews>
    <sheetView tabSelected="1" workbookViewId="0">
      <selection activeCell="H25" sqref="H25"/>
    </sheetView>
  </sheetViews>
  <sheetFormatPr baseColWidth="10" defaultColWidth="8.83203125" defaultRowHeight="15" x14ac:dyDescent="0.2"/>
  <cols>
    <col min="1" max="1" width="4.5" customWidth="1"/>
    <col min="2" max="2" width="10" bestFit="1" customWidth="1"/>
    <col min="3" max="3" width="9.33203125" bestFit="1" customWidth="1"/>
    <col min="4" max="4" width="9.6640625" bestFit="1" customWidth="1"/>
    <col min="5" max="5" width="8.1640625" bestFit="1" customWidth="1"/>
    <col min="6" max="6" width="9.1640625" bestFit="1" customWidth="1"/>
    <col min="7" max="7" width="9.1640625" customWidth="1"/>
    <col min="8" max="8" width="6.83203125" bestFit="1" customWidth="1"/>
    <col min="9" max="9" width="10.83203125" bestFit="1" customWidth="1"/>
    <col min="10" max="10" width="11.1640625" style="1" bestFit="1" customWidth="1"/>
    <col min="11" max="12" width="7.6640625" bestFit="1" customWidth="1"/>
  </cols>
  <sheetData>
    <row r="2" spans="2:1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s="1" t="s">
        <v>65</v>
      </c>
      <c r="K2" t="s">
        <v>64</v>
      </c>
    </row>
    <row r="3" spans="2:11" x14ac:dyDescent="0.2">
      <c r="B3" t="s">
        <v>62</v>
      </c>
      <c r="C3" t="s">
        <v>63</v>
      </c>
      <c r="D3" t="s">
        <v>12</v>
      </c>
      <c r="E3">
        <v>38</v>
      </c>
      <c r="F3" t="str">
        <f>IF(E3&gt;=50, "DA","NE")</f>
        <v>NE</v>
      </c>
      <c r="H3" t="s">
        <v>9</v>
      </c>
      <c r="I3">
        <f t="shared" ref="I3:I5" si="0">COUNTIF($D$3:$D$30, H3)</f>
        <v>9</v>
      </c>
      <c r="J3" s="1">
        <f t="shared" ref="J3:J5" si="1">AVERAGEIF($D$3:$D$30, H3, $E$3:$E$30)</f>
        <v>58.222222222222221</v>
      </c>
      <c r="K3">
        <v>66.84</v>
      </c>
    </row>
    <row r="4" spans="2:11" x14ac:dyDescent="0.2">
      <c r="B4" t="s">
        <v>34</v>
      </c>
      <c r="C4" t="s">
        <v>35</v>
      </c>
      <c r="D4" t="s">
        <v>12</v>
      </c>
      <c r="E4">
        <v>39</v>
      </c>
      <c r="F4" t="str">
        <f t="shared" ref="F4:F30" si="2">IF(E4&gt;=50, "DA","NE")</f>
        <v>NE</v>
      </c>
      <c r="H4" t="s">
        <v>12</v>
      </c>
      <c r="I4">
        <f t="shared" si="0"/>
        <v>12</v>
      </c>
      <c r="J4" s="1">
        <f t="shared" si="1"/>
        <v>66.5</v>
      </c>
      <c r="K4">
        <v>52.35</v>
      </c>
    </row>
    <row r="5" spans="2:11" x14ac:dyDescent="0.2">
      <c r="B5" t="s">
        <v>7</v>
      </c>
      <c r="C5" t="s">
        <v>36</v>
      </c>
      <c r="D5" t="s">
        <v>12</v>
      </c>
      <c r="E5">
        <v>36</v>
      </c>
      <c r="F5" t="str">
        <f t="shared" si="2"/>
        <v>NE</v>
      </c>
      <c r="H5" t="s">
        <v>15</v>
      </c>
      <c r="I5">
        <f t="shared" si="0"/>
        <v>7</v>
      </c>
      <c r="J5" s="1">
        <f t="shared" si="1"/>
        <v>47.714285714285715</v>
      </c>
      <c r="K5">
        <v>49.66</v>
      </c>
    </row>
    <row r="6" spans="2:11" x14ac:dyDescent="0.2">
      <c r="B6" t="s">
        <v>7</v>
      </c>
      <c r="C6" t="s">
        <v>8</v>
      </c>
      <c r="D6" t="s">
        <v>9</v>
      </c>
      <c r="E6">
        <v>93</v>
      </c>
      <c r="F6" t="str">
        <f t="shared" si="2"/>
        <v>DA</v>
      </c>
    </row>
    <row r="7" spans="2:11" x14ac:dyDescent="0.2">
      <c r="B7" t="s">
        <v>37</v>
      </c>
      <c r="C7" t="s">
        <v>38</v>
      </c>
      <c r="D7" t="s">
        <v>9</v>
      </c>
      <c r="E7">
        <v>77</v>
      </c>
      <c r="F7" t="str">
        <f t="shared" si="2"/>
        <v>DA</v>
      </c>
    </row>
    <row r="8" spans="2:11" x14ac:dyDescent="0.2">
      <c r="B8" t="s">
        <v>39</v>
      </c>
      <c r="C8" t="s">
        <v>40</v>
      </c>
      <c r="D8" t="s">
        <v>12</v>
      </c>
      <c r="E8">
        <v>100</v>
      </c>
      <c r="F8" t="str">
        <f t="shared" si="2"/>
        <v>DA</v>
      </c>
    </row>
    <row r="9" spans="2:11" x14ac:dyDescent="0.2">
      <c r="B9" t="s">
        <v>10</v>
      </c>
      <c r="C9" t="s">
        <v>11</v>
      </c>
      <c r="D9" t="s">
        <v>9</v>
      </c>
      <c r="E9">
        <v>94</v>
      </c>
      <c r="F9" t="str">
        <f t="shared" si="2"/>
        <v>DA</v>
      </c>
    </row>
    <row r="10" spans="2:11" x14ac:dyDescent="0.2">
      <c r="B10" t="s">
        <v>41</v>
      </c>
      <c r="C10" t="s">
        <v>42</v>
      </c>
      <c r="D10" t="s">
        <v>15</v>
      </c>
      <c r="E10">
        <v>26</v>
      </c>
      <c r="F10" t="str">
        <f t="shared" si="2"/>
        <v>NE</v>
      </c>
    </row>
    <row r="11" spans="2:11" x14ac:dyDescent="0.2">
      <c r="B11" t="s">
        <v>13</v>
      </c>
      <c r="C11" t="s">
        <v>14</v>
      </c>
      <c r="D11" t="s">
        <v>12</v>
      </c>
      <c r="E11">
        <v>44</v>
      </c>
      <c r="F11" t="str">
        <f t="shared" si="2"/>
        <v>NE</v>
      </c>
    </row>
    <row r="12" spans="2:11" x14ac:dyDescent="0.2">
      <c r="B12" t="s">
        <v>16</v>
      </c>
      <c r="C12" t="s">
        <v>17</v>
      </c>
      <c r="D12" t="s">
        <v>15</v>
      </c>
      <c r="E12">
        <v>34</v>
      </c>
      <c r="F12" t="str">
        <f t="shared" si="2"/>
        <v>NE</v>
      </c>
    </row>
    <row r="13" spans="2:11" x14ac:dyDescent="0.2">
      <c r="B13" t="s">
        <v>43</v>
      </c>
      <c r="C13" t="s">
        <v>44</v>
      </c>
      <c r="D13" t="s">
        <v>12</v>
      </c>
      <c r="E13">
        <v>86</v>
      </c>
      <c r="F13" t="str">
        <f t="shared" si="2"/>
        <v>DA</v>
      </c>
    </row>
    <row r="14" spans="2:11" x14ac:dyDescent="0.2">
      <c r="B14" t="s">
        <v>45</v>
      </c>
      <c r="C14" t="s">
        <v>46</v>
      </c>
      <c r="D14" t="s">
        <v>12</v>
      </c>
      <c r="E14">
        <v>90</v>
      </c>
      <c r="F14" t="str">
        <f t="shared" si="2"/>
        <v>DA</v>
      </c>
    </row>
    <row r="15" spans="2:11" x14ac:dyDescent="0.2">
      <c r="B15" t="s">
        <v>18</v>
      </c>
      <c r="C15" t="s">
        <v>19</v>
      </c>
      <c r="D15" t="s">
        <v>12</v>
      </c>
      <c r="E15">
        <v>67</v>
      </c>
      <c r="F15" t="str">
        <f t="shared" si="2"/>
        <v>DA</v>
      </c>
    </row>
    <row r="16" spans="2:11" x14ac:dyDescent="0.2">
      <c r="B16" t="s">
        <v>20</v>
      </c>
      <c r="C16" t="s">
        <v>21</v>
      </c>
      <c r="D16" t="s">
        <v>9</v>
      </c>
      <c r="E16">
        <v>42</v>
      </c>
      <c r="F16" t="str">
        <f t="shared" si="2"/>
        <v>NE</v>
      </c>
    </row>
    <row r="17" spans="2:6" x14ac:dyDescent="0.2">
      <c r="B17" t="s">
        <v>47</v>
      </c>
      <c r="C17" t="s">
        <v>48</v>
      </c>
      <c r="D17" t="s">
        <v>15</v>
      </c>
      <c r="E17">
        <v>44</v>
      </c>
      <c r="F17" t="str">
        <f t="shared" si="2"/>
        <v>NE</v>
      </c>
    </row>
    <row r="18" spans="2:6" x14ac:dyDescent="0.2">
      <c r="B18" t="s">
        <v>22</v>
      </c>
      <c r="C18" t="s">
        <v>23</v>
      </c>
      <c r="D18" t="s">
        <v>12</v>
      </c>
      <c r="E18">
        <v>64</v>
      </c>
      <c r="F18" t="str">
        <f t="shared" si="2"/>
        <v>DA</v>
      </c>
    </row>
    <row r="19" spans="2:6" x14ac:dyDescent="0.2">
      <c r="B19" t="s">
        <v>24</v>
      </c>
      <c r="C19" t="s">
        <v>25</v>
      </c>
      <c r="D19" t="s">
        <v>15</v>
      </c>
      <c r="E19">
        <v>30</v>
      </c>
      <c r="F19" t="str">
        <f t="shared" si="2"/>
        <v>NE</v>
      </c>
    </row>
    <row r="20" spans="2:6" x14ac:dyDescent="0.2">
      <c r="B20" t="s">
        <v>49</v>
      </c>
      <c r="C20" t="s">
        <v>29</v>
      </c>
      <c r="D20" t="s">
        <v>9</v>
      </c>
      <c r="E20">
        <v>57</v>
      </c>
      <c r="F20" t="str">
        <f t="shared" si="2"/>
        <v>DA</v>
      </c>
    </row>
    <row r="21" spans="2:6" x14ac:dyDescent="0.2">
      <c r="B21" t="s">
        <v>50</v>
      </c>
      <c r="C21" t="s">
        <v>51</v>
      </c>
      <c r="D21" t="s">
        <v>9</v>
      </c>
      <c r="E21">
        <v>43</v>
      </c>
      <c r="F21" t="str">
        <f t="shared" si="2"/>
        <v>NE</v>
      </c>
    </row>
    <row r="22" spans="2:6" x14ac:dyDescent="0.2">
      <c r="B22" t="s">
        <v>60</v>
      </c>
      <c r="C22" t="s">
        <v>61</v>
      </c>
      <c r="D22" t="s">
        <v>9</v>
      </c>
      <c r="E22">
        <v>38</v>
      </c>
      <c r="F22" t="str">
        <f t="shared" si="2"/>
        <v>NE</v>
      </c>
    </row>
    <row r="23" spans="2:6" x14ac:dyDescent="0.2">
      <c r="B23" t="s">
        <v>52</v>
      </c>
      <c r="C23" t="s">
        <v>53</v>
      </c>
      <c r="D23" t="s">
        <v>12</v>
      </c>
      <c r="E23">
        <v>85</v>
      </c>
      <c r="F23" t="str">
        <f t="shared" si="2"/>
        <v>DA</v>
      </c>
    </row>
    <row r="24" spans="2:6" x14ac:dyDescent="0.2">
      <c r="B24" t="s">
        <v>54</v>
      </c>
      <c r="C24" t="s">
        <v>55</v>
      </c>
      <c r="D24" t="s">
        <v>15</v>
      </c>
      <c r="E24">
        <v>76</v>
      </c>
      <c r="F24" t="str">
        <f t="shared" si="2"/>
        <v>DA</v>
      </c>
    </row>
    <row r="25" spans="2:6" x14ac:dyDescent="0.2">
      <c r="B25" t="s">
        <v>56</v>
      </c>
      <c r="C25" t="s">
        <v>57</v>
      </c>
      <c r="D25" t="s">
        <v>9</v>
      </c>
      <c r="E25">
        <v>34</v>
      </c>
      <c r="F25" t="str">
        <f t="shared" si="2"/>
        <v>NE</v>
      </c>
    </row>
    <row r="26" spans="2:6" x14ac:dyDescent="0.2">
      <c r="B26" t="s">
        <v>58</v>
      </c>
      <c r="C26" t="s">
        <v>59</v>
      </c>
      <c r="D26" t="s">
        <v>12</v>
      </c>
      <c r="E26">
        <v>79</v>
      </c>
      <c r="F26" t="str">
        <f t="shared" si="2"/>
        <v>DA</v>
      </c>
    </row>
    <row r="27" spans="2:6" x14ac:dyDescent="0.2">
      <c r="B27" t="s">
        <v>26</v>
      </c>
      <c r="C27" t="s">
        <v>27</v>
      </c>
      <c r="D27" t="s">
        <v>12</v>
      </c>
      <c r="E27">
        <v>70</v>
      </c>
      <c r="F27" t="str">
        <f t="shared" si="2"/>
        <v>DA</v>
      </c>
    </row>
    <row r="28" spans="2:6" x14ac:dyDescent="0.2">
      <c r="B28" t="s">
        <v>30</v>
      </c>
      <c r="C28" t="s">
        <v>31</v>
      </c>
      <c r="D28" t="s">
        <v>15</v>
      </c>
      <c r="E28">
        <v>66</v>
      </c>
      <c r="F28" t="str">
        <f t="shared" si="2"/>
        <v>DA</v>
      </c>
    </row>
    <row r="29" spans="2:6" x14ac:dyDescent="0.2">
      <c r="B29" t="s">
        <v>28</v>
      </c>
      <c r="C29" t="s">
        <v>29</v>
      </c>
      <c r="D29" t="s">
        <v>15</v>
      </c>
      <c r="E29">
        <v>58</v>
      </c>
      <c r="F29" t="str">
        <f t="shared" si="2"/>
        <v>DA</v>
      </c>
    </row>
    <row r="30" spans="2:6" x14ac:dyDescent="0.2">
      <c r="B30" t="s">
        <v>32</v>
      </c>
      <c r="C30" t="s">
        <v>33</v>
      </c>
      <c r="D30" t="s">
        <v>9</v>
      </c>
      <c r="E30">
        <v>46</v>
      </c>
      <c r="F30" t="str">
        <f t="shared" si="2"/>
        <v>NE</v>
      </c>
    </row>
  </sheetData>
  <conditionalFormatting sqref="E3:E30">
    <cfRule type="expression" dxfId="1" priority="2">
      <formula>$E3&lt;50</formula>
    </cfRule>
  </conditionalFormatting>
  <conditionalFormatting sqref="B3:C30">
    <cfRule type="expression" dxfId="0" priority="1">
      <formula>$E3&lt;50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Kmetič, Zala</cp:lastModifiedBy>
  <dcterms:created xsi:type="dcterms:W3CDTF">2007-11-10T02:36:44Z</dcterms:created>
  <dcterms:modified xsi:type="dcterms:W3CDTF">2025-12-08T21:35:52Z</dcterms:modified>
</cp:coreProperties>
</file>